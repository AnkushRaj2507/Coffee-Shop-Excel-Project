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nkus\OneDrive\Desktop\SDE+DATA\DATA\Projects\"/>
    </mc:Choice>
  </mc:AlternateContent>
  <xr:revisionPtr revIDLastSave="0" documentId="8_{24D45CA8-A5C1-4542-983C-79B79911133F}" xr6:coauthVersionLast="47" xr6:coauthVersionMax="47" xr10:uidLastSave="{00000000-0000-0000-0000-000000000000}"/>
  <bookViews>
    <workbookView xWindow="-108" yWindow="-108" windowWidth="23256" windowHeight="12456" xr2:uid="{00000000-000D-0000-FFFF-FFFF00000000}"/>
  </bookViews>
  <sheets>
    <sheet name="orders" sheetId="17" r:id="rId1"/>
    <sheet name="customers" sheetId="13" r:id="rId2"/>
    <sheet name="products" sheetId="2" r:id="rId3"/>
    <sheet name="TotalSales" sheetId="18" r:id="rId4"/>
    <sheet name="CountryBarChart" sheetId="20" r:id="rId5"/>
    <sheet name="Top5Customers" sheetId="21" r:id="rId6"/>
    <sheet name="Dashboard" sheetId="22" r:id="rId7"/>
  </sheets>
  <definedNames>
    <definedName name="_xlnm._FilterDatabase" localSheetId="0" hidden="1">orders!$A$1:$M$1001</definedName>
    <definedName name="_xlnm._FilterDatabase" localSheetId="2"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 i="17" l="1"/>
  <c r="O5" i="17"/>
  <c r="O6" i="17"/>
  <c r="O7" i="17"/>
  <c r="O10" i="17"/>
  <c r="O36" i="17"/>
  <c r="O37" i="17"/>
  <c r="O38" i="17"/>
  <c r="O46" i="17"/>
  <c r="O47" i="17"/>
  <c r="O48" i="17"/>
  <c r="O49" i="17"/>
  <c r="O50" i="17"/>
  <c r="O62" i="17"/>
  <c r="O63" i="17"/>
  <c r="O68" i="17"/>
  <c r="O69" i="17"/>
  <c r="O70" i="17"/>
  <c r="O97" i="17"/>
  <c r="O98" i="17"/>
  <c r="O99" i="17"/>
  <c r="O100" i="17"/>
  <c r="O101" i="17"/>
  <c r="O102" i="17"/>
  <c r="O103" i="17"/>
  <c r="O104" i="17"/>
  <c r="O118" i="17"/>
  <c r="O126" i="17"/>
  <c r="O127" i="17"/>
  <c r="O128" i="17"/>
  <c r="O129" i="17"/>
  <c r="O130" i="17"/>
  <c r="O134" i="17"/>
  <c r="O135" i="17"/>
  <c r="O143" i="17"/>
  <c r="O144" i="17"/>
  <c r="O145" i="17"/>
  <c r="O146" i="17"/>
  <c r="O147" i="17"/>
  <c r="O165" i="17"/>
  <c r="O166" i="17"/>
  <c r="O175" i="17"/>
  <c r="O176" i="17"/>
  <c r="O177" i="17"/>
  <c r="O178" i="17"/>
  <c r="O179" i="17"/>
  <c r="O194" i="17"/>
  <c r="O195" i="17"/>
  <c r="O196" i="17"/>
  <c r="O197" i="17"/>
  <c r="O198" i="17"/>
  <c r="O206" i="17"/>
  <c r="O207" i="17"/>
  <c r="O223" i="17"/>
  <c r="O224" i="17"/>
  <c r="O225" i="17"/>
  <c r="O226" i="17"/>
  <c r="O227" i="17"/>
  <c r="O228" i="17"/>
  <c r="O232" i="17"/>
  <c r="O240" i="17"/>
  <c r="O244" i="17"/>
  <c r="O262" i="17"/>
  <c r="O273" i="17"/>
  <c r="O274" i="17"/>
  <c r="O275" i="17"/>
  <c r="O276" i="17"/>
  <c r="O292" i="17"/>
  <c r="O293" i="17"/>
  <c r="O294" i="17"/>
  <c r="O302" i="17"/>
  <c r="O303" i="17"/>
  <c r="O304" i="17"/>
  <c r="O320" i="17"/>
  <c r="O321" i="17"/>
  <c r="O322" i="17"/>
  <c r="O323" i="17"/>
  <c r="O324" i="17"/>
  <c r="O325" i="17"/>
  <c r="O326" i="17"/>
  <c r="O340" i="17"/>
  <c r="O341" i="17"/>
  <c r="O352" i="17"/>
  <c r="O353" i="17"/>
  <c r="O354" i="17"/>
  <c r="O366" i="17"/>
  <c r="O372" i="17"/>
  <c r="O373" i="17"/>
  <c r="O390" i="17"/>
  <c r="O398" i="17"/>
  <c r="O399" i="17"/>
  <c r="O400" i="17"/>
  <c r="O401" i="17"/>
  <c r="O409" i="17"/>
  <c r="O420" i="17"/>
  <c r="O421" i="17"/>
  <c r="O422" i="17"/>
  <c r="O436" i="17"/>
  <c r="O437" i="17"/>
  <c r="O438" i="17"/>
  <c r="O446" i="17"/>
  <c r="O450" i="17"/>
  <c r="O451" i="17"/>
  <c r="O456" i="17"/>
  <c r="O469" i="17"/>
  <c r="O470" i="17"/>
  <c r="O482" i="17"/>
  <c r="O483" i="17"/>
  <c r="O484" i="17"/>
  <c r="O494" i="17"/>
  <c r="O495" i="17"/>
  <c r="O516" i="17"/>
  <c r="O517" i="17"/>
  <c r="O518" i="17"/>
  <c r="O531" i="17"/>
  <c r="O532" i="17"/>
  <c r="O533" i="17"/>
  <c r="O534" i="17"/>
  <c r="O535" i="17"/>
  <c r="O548" i="17"/>
  <c r="O558" i="17"/>
  <c r="O559" i="17"/>
  <c r="O560" i="17"/>
  <c r="O561" i="17"/>
  <c r="O562" i="17"/>
  <c r="O563" i="17"/>
  <c r="O579" i="17"/>
  <c r="O580" i="17"/>
  <c r="O581" i="17"/>
  <c r="O582" i="17"/>
  <c r="O612" i="17"/>
  <c r="O613" i="17"/>
  <c r="O614" i="17"/>
  <c r="O628" i="17"/>
  <c r="O629" i="17"/>
  <c r="O630" i="17"/>
  <c r="O654" i="17"/>
  <c r="O655" i="17"/>
  <c r="O656" i="17"/>
  <c r="O657" i="17"/>
  <c r="O658" i="17"/>
  <c r="O659" i="17"/>
  <c r="O660" i="17"/>
  <c r="O661" i="17"/>
  <c r="O676" i="17"/>
  <c r="O677" i="17"/>
  <c r="O678" i="17"/>
  <c r="O687" i="17"/>
  <c r="O688" i="17"/>
  <c r="O689" i="17"/>
  <c r="O690" i="17"/>
  <c r="O691" i="17"/>
  <c r="O692" i="17"/>
  <c r="O708" i="17"/>
  <c r="O709" i="17"/>
  <c r="O710" i="17"/>
  <c r="O711" i="17"/>
  <c r="O725" i="17"/>
  <c r="O726" i="17"/>
  <c r="O737" i="17"/>
  <c r="O738" i="17"/>
  <c r="O739" i="17"/>
  <c r="O750" i="17"/>
  <c r="O751" i="17"/>
  <c r="O752" i="17"/>
  <c r="O753" i="17"/>
  <c r="O754" i="17"/>
  <c r="O756" i="17"/>
  <c r="O757" i="17"/>
  <c r="O758" i="17"/>
  <c r="O772" i="17"/>
  <c r="O773" i="17"/>
  <c r="O774" i="17"/>
  <c r="O785" i="17"/>
  <c r="O786" i="17"/>
  <c r="O787" i="17"/>
  <c r="O788" i="17"/>
  <c r="O789" i="17"/>
  <c r="O804" i="17"/>
  <c r="O805" i="17"/>
  <c r="O806" i="17"/>
  <c r="O814" i="17"/>
  <c r="O819" i="17"/>
  <c r="O834" i="17"/>
  <c r="O835" i="17"/>
  <c r="O836" i="17"/>
  <c r="O852" i="17"/>
  <c r="O853" i="17"/>
  <c r="O854" i="17"/>
  <c r="O869" i="17"/>
  <c r="O870" i="17"/>
  <c r="O884" i="17"/>
  <c r="O885" i="17"/>
  <c r="O886" i="17"/>
  <c r="O894" i="17"/>
  <c r="O902" i="17"/>
  <c r="O910" i="17"/>
  <c r="O911" i="17"/>
  <c r="O916" i="17"/>
  <c r="O917" i="17"/>
  <c r="O932" i="17"/>
  <c r="O933" i="17"/>
  <c r="O944" i="17"/>
  <c r="O945" i="17"/>
  <c r="O946" i="17"/>
  <c r="O947" i="17"/>
  <c r="O948" i="17"/>
  <c r="O949" i="17"/>
  <c r="O950" i="17"/>
  <c r="O951" i="17"/>
  <c r="O952" i="17"/>
  <c r="O966" i="17"/>
  <c r="O974" i="17"/>
  <c r="O975" i="17"/>
  <c r="O976" i="17"/>
  <c r="O977" i="17"/>
  <c r="O981" i="17"/>
  <c r="O982" i="17"/>
  <c r="O991" i="17"/>
  <c r="O996" i="17"/>
  <c r="N12" i="17"/>
  <c r="N13" i="17"/>
  <c r="N14" i="17"/>
  <c r="N21" i="17"/>
  <c r="N22" i="17"/>
  <c r="N28" i="17"/>
  <c r="N29" i="17"/>
  <c r="N40" i="17"/>
  <c r="N41" i="17"/>
  <c r="N42" i="17"/>
  <c r="N43" i="17"/>
  <c r="N44" i="17"/>
  <c r="N45" i="17"/>
  <c r="N46" i="17"/>
  <c r="N62" i="17"/>
  <c r="N69" i="17"/>
  <c r="N70" i="17"/>
  <c r="N71" i="17"/>
  <c r="N72" i="17"/>
  <c r="N73" i="17"/>
  <c r="N74" i="17"/>
  <c r="N78" i="17"/>
  <c r="N79" i="17"/>
  <c r="N92" i="17"/>
  <c r="N93" i="17"/>
  <c r="N101" i="17"/>
  <c r="N102" i="17"/>
  <c r="N103" i="17"/>
  <c r="N104" i="17"/>
  <c r="N109" i="17"/>
  <c r="N110" i="17"/>
  <c r="N119" i="17"/>
  <c r="N124" i="17"/>
  <c r="N125" i="17"/>
  <c r="N126" i="17"/>
  <c r="N140" i="17"/>
  <c r="N141" i="17"/>
  <c r="N142" i="17"/>
  <c r="N165" i="17"/>
  <c r="N166" i="17"/>
  <c r="N167" i="17"/>
  <c r="N168" i="17"/>
  <c r="N169" i="17"/>
  <c r="N172" i="17"/>
  <c r="N188" i="17"/>
  <c r="N189" i="17"/>
  <c r="N190" i="17"/>
  <c r="N198" i="17"/>
  <c r="N199" i="17"/>
  <c r="N200" i="17"/>
  <c r="N201" i="17"/>
  <c r="N206" i="17"/>
  <c r="N207" i="17"/>
  <c r="N208" i="17"/>
  <c r="N220" i="17"/>
  <c r="N221" i="17"/>
  <c r="N222" i="17"/>
  <c r="N231" i="17"/>
  <c r="N232" i="17"/>
  <c r="N236" i="17"/>
  <c r="N237" i="17"/>
  <c r="N238" i="17"/>
  <c r="N245" i="17"/>
  <c r="N257" i="17"/>
  <c r="N268" i="17"/>
  <c r="N269" i="17"/>
  <c r="N270" i="17"/>
  <c r="N281" i="17"/>
  <c r="N285" i="17"/>
  <c r="N286" i="17"/>
  <c r="N287" i="17"/>
  <c r="N288" i="17"/>
  <c r="N289" i="17"/>
  <c r="N309" i="17"/>
  <c r="N310" i="17"/>
  <c r="N317" i="17"/>
  <c r="N318" i="17"/>
  <c r="N328" i="17"/>
  <c r="N329" i="17"/>
  <c r="N330" i="17"/>
  <c r="N334" i="17"/>
  <c r="N341" i="17"/>
  <c r="N342" i="17"/>
  <c r="N357" i="17"/>
  <c r="N358" i="17"/>
  <c r="N359" i="17"/>
  <c r="N360" i="17"/>
  <c r="N361" i="17"/>
  <c r="N362" i="17"/>
  <c r="N363" i="17"/>
  <c r="N364" i="17"/>
  <c r="N365" i="17"/>
  <c r="N366" i="17"/>
  <c r="N367" i="17"/>
  <c r="N380" i="17"/>
  <c r="N381" i="17"/>
  <c r="N382" i="17"/>
  <c r="N388" i="17"/>
  <c r="N389" i="17"/>
  <c r="N394" i="17"/>
  <c r="N395" i="17"/>
  <c r="N396" i="17"/>
  <c r="N397" i="17"/>
  <c r="N398" i="17"/>
  <c r="N406" i="17"/>
  <c r="N407" i="17"/>
  <c r="N408" i="17"/>
  <c r="N413" i="17"/>
  <c r="N414" i="17"/>
  <c r="N420" i="17"/>
  <c r="N421" i="17"/>
  <c r="N422" i="17"/>
  <c r="N423" i="17"/>
  <c r="N424" i="17"/>
  <c r="N436" i="17"/>
  <c r="N437" i="17"/>
  <c r="N438" i="17"/>
  <c r="N439" i="17"/>
  <c r="N440" i="17"/>
  <c r="N441" i="17"/>
  <c r="N442" i="17"/>
  <c r="N444" i="17"/>
  <c r="N445" i="17"/>
  <c r="N446" i="17"/>
  <c r="N454" i="17"/>
  <c r="N460" i="17"/>
  <c r="N461" i="17"/>
  <c r="N462" i="17"/>
  <c r="N468" i="17"/>
  <c r="N473" i="17"/>
  <c r="N474" i="17"/>
  <c r="N475" i="17"/>
  <c r="N476" i="17"/>
  <c r="N477" i="17"/>
  <c r="N492" i="17"/>
  <c r="N493" i="17"/>
  <c r="N494" i="17"/>
  <c r="N500" i="17"/>
  <c r="N501" i="17"/>
  <c r="N502" i="17"/>
  <c r="N503" i="17"/>
  <c r="N516" i="17"/>
  <c r="N517" i="17"/>
  <c r="N524" i="17"/>
  <c r="N525" i="17"/>
  <c r="N533" i="17"/>
  <c r="N538" i="17"/>
  <c r="N539" i="17"/>
  <c r="N540" i="17"/>
  <c r="N541" i="17"/>
  <c r="N542" i="17"/>
  <c r="N543" i="17"/>
  <c r="N544" i="17"/>
  <c r="N556" i="17"/>
  <c r="N564" i="17"/>
  <c r="N565" i="17"/>
  <c r="N566" i="17"/>
  <c r="N572" i="17"/>
  <c r="N573" i="17"/>
  <c r="N574" i="17"/>
  <c r="N580" i="17"/>
  <c r="N581" i="17"/>
  <c r="N590" i="17"/>
  <c r="N596" i="17"/>
  <c r="N597" i="17"/>
  <c r="N598" i="17"/>
  <c r="N599" i="17"/>
  <c r="N600" i="17"/>
  <c r="N601" i="17"/>
  <c r="N602" i="17"/>
  <c r="N603" i="17"/>
  <c r="N604" i="17"/>
  <c r="N612" i="17"/>
  <c r="N617" i="17"/>
  <c r="N618" i="17"/>
  <c r="N620" i="17"/>
  <c r="N621" i="17"/>
  <c r="N622" i="17"/>
  <c r="N631" i="17"/>
  <c r="N632" i="17"/>
  <c r="N633" i="17"/>
  <c r="N634" i="17"/>
  <c r="N635" i="17"/>
  <c r="N644" i="17"/>
  <c r="N645" i="17"/>
  <c r="N650" i="17"/>
  <c r="N651" i="17"/>
  <c r="N652" i="17"/>
  <c r="N653" i="17"/>
  <c r="N654" i="17"/>
  <c r="N660" i="17"/>
  <c r="N661" i="17"/>
  <c r="N669" i="17"/>
  <c r="N670" i="17"/>
  <c r="N676" i="17"/>
  <c r="N677" i="17"/>
  <c r="N678" i="17"/>
  <c r="N679" i="17"/>
  <c r="N680" i="17"/>
  <c r="N681" i="17"/>
  <c r="N700" i="17"/>
  <c r="N701" i="17"/>
  <c r="N702" i="17"/>
  <c r="N710" i="17"/>
  <c r="N711" i="17"/>
  <c r="N712" i="17"/>
  <c r="N713" i="17"/>
  <c r="N714" i="17"/>
  <c r="N718" i="17"/>
  <c r="N732" i="17"/>
  <c r="N733" i="17"/>
  <c r="N734" i="17"/>
  <c r="N740" i="17"/>
  <c r="N748" i="17"/>
  <c r="N749" i="17"/>
  <c r="N750" i="17"/>
  <c r="N751" i="17"/>
  <c r="N775" i="17"/>
  <c r="N776" i="17"/>
  <c r="N777" i="17"/>
  <c r="N778" i="17"/>
  <c r="N779" i="17"/>
  <c r="N780" i="17"/>
  <c r="N781" i="17"/>
  <c r="N797" i="17"/>
  <c r="N798" i="17"/>
  <c r="N808" i="17"/>
  <c r="N809" i="17"/>
  <c r="N810" i="17"/>
  <c r="N811" i="17"/>
  <c r="N812" i="17"/>
  <c r="N813" i="17"/>
  <c r="N814" i="17"/>
  <c r="N828" i="17"/>
  <c r="N829" i="17"/>
  <c r="N830" i="17"/>
  <c r="N836" i="17"/>
  <c r="N837" i="17"/>
  <c r="N838" i="17"/>
  <c r="N839" i="17"/>
  <c r="N840" i="17"/>
  <c r="N841" i="17"/>
  <c r="N846" i="17"/>
  <c r="N854" i="17"/>
  <c r="N855" i="17"/>
  <c r="N860" i="17"/>
  <c r="N868" i="17"/>
  <c r="N869" i="17"/>
  <c r="N870" i="17"/>
  <c r="N871" i="17"/>
  <c r="N872" i="17"/>
  <c r="N876" i="17"/>
  <c r="N877" i="17"/>
  <c r="N878" i="17"/>
  <c r="N879" i="17"/>
  <c r="N887" i="17"/>
  <c r="N888" i="17"/>
  <c r="N892" i="17"/>
  <c r="N893" i="17"/>
  <c r="N894" i="17"/>
  <c r="N908" i="17"/>
  <c r="N909" i="17"/>
  <c r="N910" i="17"/>
  <c r="N916" i="17"/>
  <c r="N917" i="17"/>
  <c r="N918" i="17"/>
  <c r="N925" i="17"/>
  <c r="N933" i="17"/>
  <c r="N934" i="17"/>
  <c r="N935" i="17"/>
  <c r="N936" i="17"/>
  <c r="N937" i="17"/>
  <c r="N938" i="17"/>
  <c r="N939" i="17"/>
  <c r="N948" i="17"/>
  <c r="N949" i="17"/>
  <c r="N950" i="17"/>
  <c r="N955" i="17"/>
  <c r="N956" i="17"/>
  <c r="N957" i="17"/>
  <c r="N958" i="17"/>
  <c r="N965" i="17"/>
  <c r="N966" i="17"/>
  <c r="N967" i="17"/>
  <c r="N968" i="17"/>
  <c r="N969" i="17"/>
  <c r="N970" i="17"/>
  <c r="N971" i="17"/>
  <c r="N972" i="17"/>
  <c r="N980" i="17"/>
  <c r="N984" i="17"/>
  <c r="N985" i="17"/>
  <c r="N986" i="17"/>
  <c r="N987" i="17"/>
  <c r="N988" i="17"/>
  <c r="N989" i="17"/>
  <c r="N990" i="17"/>
  <c r="N996" i="17"/>
  <c r="N997" i="17"/>
  <c r="M5" i="17"/>
  <c r="M6" i="17"/>
  <c r="M7" i="17"/>
  <c r="M13" i="17"/>
  <c r="M14" i="17"/>
  <c r="M15" i="17"/>
  <c r="M16" i="17"/>
  <c r="M23" i="17"/>
  <c r="M36" i="17"/>
  <c r="M37" i="17"/>
  <c r="M38" i="17"/>
  <c r="M45" i="17"/>
  <c r="M46" i="17"/>
  <c r="M47" i="17"/>
  <c r="M48" i="17"/>
  <c r="M52" i="17"/>
  <c r="M53" i="17"/>
  <c r="M54" i="17"/>
  <c r="M55" i="17"/>
  <c r="M64" i="17"/>
  <c r="M65" i="17"/>
  <c r="M66" i="17"/>
  <c r="M67" i="17"/>
  <c r="M68" i="17"/>
  <c r="M69" i="17"/>
  <c r="M70" i="17"/>
  <c r="M78" i="17"/>
  <c r="M79" i="17"/>
  <c r="M83" i="17"/>
  <c r="M84" i="17"/>
  <c r="M85" i="17"/>
  <c r="M86" i="17"/>
  <c r="M87" i="17"/>
  <c r="M93" i="17"/>
  <c r="M94" i="17"/>
  <c r="M95" i="17"/>
  <c r="M102" i="17"/>
  <c r="M103" i="17"/>
  <c r="M109" i="17"/>
  <c r="M110" i="17"/>
  <c r="M111" i="17"/>
  <c r="M116" i="17"/>
  <c r="M117" i="17"/>
  <c r="M128" i="17"/>
  <c r="M129" i="17"/>
  <c r="M130" i="17"/>
  <c r="M131" i="17"/>
  <c r="M132" i="17"/>
  <c r="M133" i="17"/>
  <c r="M134" i="17"/>
  <c r="M135" i="17"/>
  <c r="M136" i="17"/>
  <c r="M143" i="17"/>
  <c r="M149" i="17"/>
  <c r="M150" i="17"/>
  <c r="M151" i="17"/>
  <c r="M157" i="17"/>
  <c r="M158" i="17"/>
  <c r="M162" i="17"/>
  <c r="M163" i="17"/>
  <c r="M164" i="17"/>
  <c r="M165" i="17"/>
  <c r="M166" i="17"/>
  <c r="M167" i="17"/>
  <c r="M175" i="17"/>
  <c r="M181" i="17"/>
  <c r="M182" i="17"/>
  <c r="M183" i="17"/>
  <c r="M189" i="17"/>
  <c r="M190" i="17"/>
  <c r="M191" i="17"/>
  <c r="M192" i="17"/>
  <c r="M196" i="17"/>
  <c r="M205" i="17"/>
  <c r="M206" i="17"/>
  <c r="M212" i="17"/>
  <c r="M213" i="17"/>
  <c r="M214" i="17"/>
  <c r="M225" i="17"/>
  <c r="M226" i="17"/>
  <c r="M227" i="17"/>
  <c r="M228" i="17"/>
  <c r="M229" i="17"/>
  <c r="M230" i="17"/>
  <c r="M231" i="17"/>
  <c r="M232" i="17"/>
  <c r="M246" i="17"/>
  <c r="M247" i="17"/>
  <c r="M253" i="17"/>
  <c r="M254" i="17"/>
  <c r="M255" i="17"/>
  <c r="M256" i="17"/>
  <c r="M260" i="17"/>
  <c r="M261" i="17"/>
  <c r="M262" i="17"/>
  <c r="M263" i="17"/>
  <c r="M279" i="17"/>
  <c r="M285" i="17"/>
  <c r="M286" i="17"/>
  <c r="M287" i="17"/>
  <c r="M288" i="17"/>
  <c r="M289" i="17"/>
  <c r="M293" i="17"/>
  <c r="M294" i="17"/>
  <c r="M301" i="17"/>
  <c r="M308" i="17"/>
  <c r="M309" i="17"/>
  <c r="M310" i="17"/>
  <c r="M311" i="17"/>
  <c r="M322" i="17"/>
  <c r="M323" i="17"/>
  <c r="M324" i="17"/>
  <c r="M325" i="17"/>
  <c r="M326" i="17"/>
  <c r="M327" i="17"/>
  <c r="M349" i="17"/>
  <c r="M350" i="17"/>
  <c r="M351" i="17"/>
  <c r="M352" i="17"/>
  <c r="M353" i="17"/>
  <c r="M354" i="17"/>
  <c r="M358" i="17"/>
  <c r="M359" i="17"/>
  <c r="M372" i="17"/>
  <c r="M373" i="17"/>
  <c r="M381" i="17"/>
  <c r="M382" i="17"/>
  <c r="M383" i="17"/>
  <c r="M384" i="17"/>
  <c r="M385" i="17"/>
  <c r="M386" i="17"/>
  <c r="M390" i="17"/>
  <c r="M391" i="17"/>
  <c r="M404" i="17"/>
  <c r="M405" i="17"/>
  <c r="M406" i="17"/>
  <c r="M407" i="17"/>
  <c r="M419" i="17"/>
  <c r="M420" i="17"/>
  <c r="M421" i="17"/>
  <c r="M422" i="17"/>
  <c r="M423" i="17"/>
  <c r="M445" i="17"/>
  <c r="M446" i="17"/>
  <c r="M447" i="17"/>
  <c r="M448" i="17"/>
  <c r="M449" i="17"/>
  <c r="M450" i="17"/>
  <c r="M451" i="17"/>
  <c r="M452" i="17"/>
  <c r="M468" i="17"/>
  <c r="M469" i="17"/>
  <c r="M470" i="17"/>
  <c r="M471" i="17"/>
  <c r="M478" i="17"/>
  <c r="M479" i="17"/>
  <c r="M480" i="17"/>
  <c r="M481" i="17"/>
  <c r="M482" i="17"/>
  <c r="M483" i="17"/>
  <c r="M488" i="17"/>
  <c r="M500" i="17"/>
  <c r="M501" i="17"/>
  <c r="M502" i="17"/>
  <c r="M503" i="17"/>
  <c r="M516" i="17"/>
  <c r="M517" i="17"/>
  <c r="M518" i="17"/>
  <c r="M519" i="17"/>
  <c r="M520" i="17"/>
  <c r="M541" i="17"/>
  <c r="M542" i="17"/>
  <c r="M543" i="17"/>
  <c r="M544" i="17"/>
  <c r="M545" i="17"/>
  <c r="M546" i="17"/>
  <c r="M547" i="17"/>
  <c r="M548" i="17"/>
  <c r="M549" i="17"/>
  <c r="M550" i="17"/>
  <c r="M564" i="17"/>
  <c r="M565" i="17"/>
  <c r="M566" i="17"/>
  <c r="M567" i="17"/>
  <c r="M576" i="17"/>
  <c r="M577" i="17"/>
  <c r="M578" i="17"/>
  <c r="M579" i="17"/>
  <c r="M580" i="17"/>
  <c r="M585" i="17"/>
  <c r="M589" i="17"/>
  <c r="M596" i="17"/>
  <c r="M597" i="17"/>
  <c r="M598" i="17"/>
  <c r="M599" i="17"/>
  <c r="M605" i="17"/>
  <c r="M610" i="17"/>
  <c r="M614" i="17"/>
  <c r="M615" i="17"/>
  <c r="M616" i="17"/>
  <c r="M617" i="17"/>
  <c r="M621" i="17"/>
  <c r="M638" i="17"/>
  <c r="M639" i="17"/>
  <c r="M640" i="17"/>
  <c r="M641" i="17"/>
  <c r="M642" i="17"/>
  <c r="M643" i="17"/>
  <c r="M644" i="17"/>
  <c r="M645" i="17"/>
  <c r="M646" i="17"/>
  <c r="M647" i="17"/>
  <c r="M660" i="17"/>
  <c r="M661" i="17"/>
  <c r="M662" i="17"/>
  <c r="M663" i="17"/>
  <c r="M669" i="17"/>
  <c r="M670" i="17"/>
  <c r="M674" i="17"/>
  <c r="M675" i="17"/>
  <c r="M676" i="17"/>
  <c r="M677" i="17"/>
  <c r="M685" i="17"/>
  <c r="M693" i="17"/>
  <c r="M694" i="17"/>
  <c r="M695" i="17"/>
  <c r="M701" i="17"/>
  <c r="M702" i="17"/>
  <c r="M707" i="17"/>
  <c r="M708" i="17"/>
  <c r="M717" i="17"/>
  <c r="M724" i="17"/>
  <c r="M735" i="17"/>
  <c r="M736" i="17"/>
  <c r="M737" i="17"/>
  <c r="M738" i="17"/>
  <c r="M739" i="17"/>
  <c r="M740" i="17"/>
  <c r="M741" i="17"/>
  <c r="M742" i="17"/>
  <c r="M743" i="17"/>
  <c r="M756" i="17"/>
  <c r="M757" i="17"/>
  <c r="M758" i="17"/>
  <c r="M759" i="17"/>
  <c r="M765" i="17"/>
  <c r="M766" i="17"/>
  <c r="M767" i="17"/>
  <c r="M768" i="17"/>
  <c r="M772" i="17"/>
  <c r="M773" i="17"/>
  <c r="M774" i="17"/>
  <c r="M791" i="17"/>
  <c r="M797" i="17"/>
  <c r="M798" i="17"/>
  <c r="M799" i="17"/>
  <c r="M804" i="17"/>
  <c r="M805" i="17"/>
  <c r="M806" i="17"/>
  <c r="M813" i="17"/>
  <c r="M820" i="17"/>
  <c r="M821" i="17"/>
  <c r="M832" i="17"/>
  <c r="M833" i="17"/>
  <c r="M834" i="17"/>
  <c r="M835" i="17"/>
  <c r="M836" i="17"/>
  <c r="M837" i="17"/>
  <c r="M838" i="17"/>
  <c r="M839" i="17"/>
  <c r="M853" i="17"/>
  <c r="M854" i="17"/>
  <c r="M855" i="17"/>
  <c r="M861" i="17"/>
  <c r="M862" i="17"/>
  <c r="M863" i="17"/>
  <c r="M864" i="17"/>
  <c r="M865" i="17"/>
  <c r="M866" i="17"/>
  <c r="M870" i="17"/>
  <c r="M871" i="17"/>
  <c r="M884" i="17"/>
  <c r="M885" i="17"/>
  <c r="M893" i="17"/>
  <c r="M894" i="17"/>
  <c r="M895" i="17"/>
  <c r="M900" i="17"/>
  <c r="M901" i="17"/>
  <c r="M902" i="17"/>
  <c r="M903" i="17"/>
  <c r="M916" i="17"/>
  <c r="M927" i="17"/>
  <c r="M928" i="17"/>
  <c r="M929" i="17"/>
  <c r="M930" i="17"/>
  <c r="M931" i="17"/>
  <c r="M932" i="17"/>
  <c r="M933" i="17"/>
  <c r="M934" i="17"/>
  <c r="M935" i="17"/>
  <c r="M948" i="17"/>
  <c r="M949" i="17"/>
  <c r="M950" i="17"/>
  <c r="M951" i="17"/>
  <c r="M957" i="17"/>
  <c r="M958" i="17"/>
  <c r="M959" i="17"/>
  <c r="M973" i="17"/>
  <c r="M974" i="17"/>
  <c r="M975" i="17"/>
  <c r="M976" i="17"/>
  <c r="M977" i="17"/>
  <c r="M981" i="17"/>
  <c r="M982" i="17"/>
  <c r="M983" i="17"/>
  <c r="M989" i="17"/>
  <c r="M990" i="17"/>
  <c r="M991" i="17"/>
  <c r="M997" i="17"/>
  <c r="M998" i="17"/>
  <c r="M999" i="17"/>
  <c r="M2" i="17"/>
  <c r="L3" i="17"/>
  <c r="M3" i="17" s="1"/>
  <c r="L4" i="17"/>
  <c r="M4" i="17" s="1"/>
  <c r="L5" i="17"/>
  <c r="L6" i="17"/>
  <c r="L7" i="17"/>
  <c r="L8" i="17"/>
  <c r="M8" i="17" s="1"/>
  <c r="L9" i="17"/>
  <c r="M9" i="17" s="1"/>
  <c r="L10" i="17"/>
  <c r="M10" i="17" s="1"/>
  <c r="L11" i="17"/>
  <c r="M11" i="17" s="1"/>
  <c r="L12" i="17"/>
  <c r="M12" i="17" s="1"/>
  <c r="L13" i="17"/>
  <c r="L14" i="17"/>
  <c r="L15" i="17"/>
  <c r="L16" i="17"/>
  <c r="L17" i="17"/>
  <c r="M17" i="17" s="1"/>
  <c r="L18" i="17"/>
  <c r="M18" i="17" s="1"/>
  <c r="L19" i="17"/>
  <c r="M19" i="17" s="1"/>
  <c r="L20" i="17"/>
  <c r="M20" i="17" s="1"/>
  <c r="L21" i="17"/>
  <c r="M21" i="17" s="1"/>
  <c r="L22" i="17"/>
  <c r="M22" i="17" s="1"/>
  <c r="L23" i="17"/>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L37" i="17"/>
  <c r="L38" i="17"/>
  <c r="L39" i="17"/>
  <c r="M39" i="17" s="1"/>
  <c r="L40" i="17"/>
  <c r="M40" i="17" s="1"/>
  <c r="L41" i="17"/>
  <c r="M41" i="17" s="1"/>
  <c r="L42" i="17"/>
  <c r="M42" i="17" s="1"/>
  <c r="L43" i="17"/>
  <c r="M43" i="17" s="1"/>
  <c r="L44" i="17"/>
  <c r="M44" i="17" s="1"/>
  <c r="L45" i="17"/>
  <c r="L46" i="17"/>
  <c r="L47" i="17"/>
  <c r="L48" i="17"/>
  <c r="L49" i="17"/>
  <c r="M49" i="17" s="1"/>
  <c r="L50" i="17"/>
  <c r="M50" i="17" s="1"/>
  <c r="L51" i="17"/>
  <c r="M51" i="17" s="1"/>
  <c r="L52" i="17"/>
  <c r="L53" i="17"/>
  <c r="L54" i="17"/>
  <c r="L55" i="17"/>
  <c r="L56" i="17"/>
  <c r="M56" i="17" s="1"/>
  <c r="L57" i="17"/>
  <c r="M57" i="17" s="1"/>
  <c r="L58" i="17"/>
  <c r="M58" i="17" s="1"/>
  <c r="L59" i="17"/>
  <c r="M59" i="17" s="1"/>
  <c r="L60" i="17"/>
  <c r="M60" i="17" s="1"/>
  <c r="L61" i="17"/>
  <c r="M61" i="17" s="1"/>
  <c r="L62" i="17"/>
  <c r="M62" i="17" s="1"/>
  <c r="L63" i="17"/>
  <c r="M63" i="17" s="1"/>
  <c r="L64" i="17"/>
  <c r="L65" i="17"/>
  <c r="L66" i="17"/>
  <c r="L67" i="17"/>
  <c r="L68" i="17"/>
  <c r="L69" i="17"/>
  <c r="L70" i="17"/>
  <c r="L71" i="17"/>
  <c r="M71" i="17" s="1"/>
  <c r="L72" i="17"/>
  <c r="M72" i="17" s="1"/>
  <c r="L73" i="17"/>
  <c r="M73" i="17" s="1"/>
  <c r="L74" i="17"/>
  <c r="M74" i="17" s="1"/>
  <c r="L75" i="17"/>
  <c r="M75" i="17" s="1"/>
  <c r="L76" i="17"/>
  <c r="M76" i="17" s="1"/>
  <c r="L77" i="17"/>
  <c r="M77" i="17" s="1"/>
  <c r="L78" i="17"/>
  <c r="L79" i="17"/>
  <c r="L80" i="17"/>
  <c r="M80" i="17" s="1"/>
  <c r="L81" i="17"/>
  <c r="M81" i="17" s="1"/>
  <c r="L82" i="17"/>
  <c r="M82" i="17" s="1"/>
  <c r="L83" i="17"/>
  <c r="L84" i="17"/>
  <c r="L85" i="17"/>
  <c r="L86" i="17"/>
  <c r="L87" i="17"/>
  <c r="L88" i="17"/>
  <c r="M88" i="17" s="1"/>
  <c r="L89" i="17"/>
  <c r="M89" i="17" s="1"/>
  <c r="L90" i="17"/>
  <c r="M90" i="17" s="1"/>
  <c r="L91" i="17"/>
  <c r="M91" i="17" s="1"/>
  <c r="L92" i="17"/>
  <c r="M92" i="17" s="1"/>
  <c r="L93" i="17"/>
  <c r="L94" i="17"/>
  <c r="L95" i="17"/>
  <c r="L96" i="17"/>
  <c r="M96" i="17" s="1"/>
  <c r="L97" i="17"/>
  <c r="M97" i="17" s="1"/>
  <c r="L98" i="17"/>
  <c r="M98" i="17" s="1"/>
  <c r="L99" i="17"/>
  <c r="M99" i="17" s="1"/>
  <c r="L100" i="17"/>
  <c r="M100" i="17" s="1"/>
  <c r="L101" i="17"/>
  <c r="M101" i="17" s="1"/>
  <c r="L102" i="17"/>
  <c r="L103" i="17"/>
  <c r="L104" i="17"/>
  <c r="M104" i="17" s="1"/>
  <c r="L105" i="17"/>
  <c r="M105" i="17" s="1"/>
  <c r="L106" i="17"/>
  <c r="M106" i="17" s="1"/>
  <c r="L107" i="17"/>
  <c r="M107" i="17" s="1"/>
  <c r="L108" i="17"/>
  <c r="M108" i="17" s="1"/>
  <c r="L109" i="17"/>
  <c r="L110" i="17"/>
  <c r="L111" i="17"/>
  <c r="L112" i="17"/>
  <c r="M112" i="17" s="1"/>
  <c r="L113" i="17"/>
  <c r="M113" i="17" s="1"/>
  <c r="L114" i="17"/>
  <c r="M114" i="17" s="1"/>
  <c r="L115" i="17"/>
  <c r="M115" i="17" s="1"/>
  <c r="L116" i="17"/>
  <c r="L117" i="17"/>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L129" i="17"/>
  <c r="L130" i="17"/>
  <c r="L131" i="17"/>
  <c r="L132" i="17"/>
  <c r="L133" i="17"/>
  <c r="L134" i="17"/>
  <c r="L135" i="17"/>
  <c r="L136" i="17"/>
  <c r="L137" i="17"/>
  <c r="M137" i="17" s="1"/>
  <c r="L138" i="17"/>
  <c r="M138" i="17" s="1"/>
  <c r="L139" i="17"/>
  <c r="M139" i="17" s="1"/>
  <c r="L140" i="17"/>
  <c r="M140" i="17" s="1"/>
  <c r="L141" i="17"/>
  <c r="M141" i="17" s="1"/>
  <c r="L142" i="17"/>
  <c r="M142" i="17" s="1"/>
  <c r="L143" i="17"/>
  <c r="L144" i="17"/>
  <c r="M144" i="17" s="1"/>
  <c r="L145" i="17"/>
  <c r="M145" i="17" s="1"/>
  <c r="L146" i="17"/>
  <c r="M146" i="17" s="1"/>
  <c r="L147" i="17"/>
  <c r="M147" i="17" s="1"/>
  <c r="L148" i="17"/>
  <c r="M148" i="17" s="1"/>
  <c r="L149" i="17"/>
  <c r="L150" i="17"/>
  <c r="L151" i="17"/>
  <c r="L152" i="17"/>
  <c r="M152" i="17" s="1"/>
  <c r="L153" i="17"/>
  <c r="M153" i="17" s="1"/>
  <c r="L154" i="17"/>
  <c r="M154" i="17" s="1"/>
  <c r="L155" i="17"/>
  <c r="M155" i="17" s="1"/>
  <c r="L156" i="17"/>
  <c r="M156" i="17" s="1"/>
  <c r="L157" i="17"/>
  <c r="L158" i="17"/>
  <c r="L159" i="17"/>
  <c r="M159" i="17" s="1"/>
  <c r="L160" i="17"/>
  <c r="M160" i="17" s="1"/>
  <c r="L161" i="17"/>
  <c r="M161" i="17" s="1"/>
  <c r="L162" i="17"/>
  <c r="L163" i="17"/>
  <c r="L164" i="17"/>
  <c r="L165" i="17"/>
  <c r="L166" i="17"/>
  <c r="L167" i="17"/>
  <c r="L168" i="17"/>
  <c r="M168" i="17" s="1"/>
  <c r="L169" i="17"/>
  <c r="M169" i="17" s="1"/>
  <c r="L170" i="17"/>
  <c r="M170" i="17" s="1"/>
  <c r="L171" i="17"/>
  <c r="M171" i="17" s="1"/>
  <c r="L172" i="17"/>
  <c r="M172" i="17" s="1"/>
  <c r="L173" i="17"/>
  <c r="M173" i="17" s="1"/>
  <c r="L174" i="17"/>
  <c r="M174" i="17" s="1"/>
  <c r="L175" i="17"/>
  <c r="L176" i="17"/>
  <c r="M176" i="17" s="1"/>
  <c r="L177" i="17"/>
  <c r="M177" i="17" s="1"/>
  <c r="L178" i="17"/>
  <c r="M178" i="17" s="1"/>
  <c r="L179" i="17"/>
  <c r="M179" i="17" s="1"/>
  <c r="L180" i="17"/>
  <c r="M180" i="17" s="1"/>
  <c r="L181" i="17"/>
  <c r="L182" i="17"/>
  <c r="L183" i="17"/>
  <c r="L184" i="17"/>
  <c r="M184" i="17" s="1"/>
  <c r="L185" i="17"/>
  <c r="M185" i="17" s="1"/>
  <c r="L186" i="17"/>
  <c r="M186" i="17" s="1"/>
  <c r="L187" i="17"/>
  <c r="M187" i="17" s="1"/>
  <c r="L188" i="17"/>
  <c r="M188" i="17" s="1"/>
  <c r="L189" i="17"/>
  <c r="L190" i="17"/>
  <c r="L191" i="17"/>
  <c r="L192" i="17"/>
  <c r="L193" i="17"/>
  <c r="M193" i="17" s="1"/>
  <c r="L194" i="17"/>
  <c r="M194" i="17" s="1"/>
  <c r="L195" i="17"/>
  <c r="M195" i="17" s="1"/>
  <c r="L196" i="17"/>
  <c r="L197" i="17"/>
  <c r="M197" i="17" s="1"/>
  <c r="L198" i="17"/>
  <c r="M198" i="17" s="1"/>
  <c r="L199" i="17"/>
  <c r="M199" i="17" s="1"/>
  <c r="L200" i="17"/>
  <c r="M200" i="17" s="1"/>
  <c r="L201" i="17"/>
  <c r="M201" i="17" s="1"/>
  <c r="L202" i="17"/>
  <c r="M202" i="17" s="1"/>
  <c r="L203" i="17"/>
  <c r="M203" i="17" s="1"/>
  <c r="L204" i="17"/>
  <c r="M204" i="17" s="1"/>
  <c r="L205" i="17"/>
  <c r="L206" i="17"/>
  <c r="L207" i="17"/>
  <c r="M207" i="17" s="1"/>
  <c r="L208" i="17"/>
  <c r="M208" i="17" s="1"/>
  <c r="L209" i="17"/>
  <c r="M209" i="17" s="1"/>
  <c r="L210" i="17"/>
  <c r="M210" i="17" s="1"/>
  <c r="L211" i="17"/>
  <c r="M211" i="17" s="1"/>
  <c r="L212" i="17"/>
  <c r="L213" i="17"/>
  <c r="L214" i="17"/>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L226" i="17"/>
  <c r="L227" i="17"/>
  <c r="L228" i="17"/>
  <c r="L229" i="17"/>
  <c r="L230" i="17"/>
  <c r="L231" i="17"/>
  <c r="L232" i="17"/>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L247" i="17"/>
  <c r="L248" i="17"/>
  <c r="M248" i="17" s="1"/>
  <c r="L249" i="17"/>
  <c r="M249" i="17" s="1"/>
  <c r="L250" i="17"/>
  <c r="M250" i="17" s="1"/>
  <c r="L251" i="17"/>
  <c r="M251" i="17" s="1"/>
  <c r="L252" i="17"/>
  <c r="M252" i="17" s="1"/>
  <c r="L253" i="17"/>
  <c r="L254" i="17"/>
  <c r="L255" i="17"/>
  <c r="L256" i="17"/>
  <c r="L257" i="17"/>
  <c r="M257" i="17" s="1"/>
  <c r="L258" i="17"/>
  <c r="M258" i="17" s="1"/>
  <c r="L259" i="17"/>
  <c r="M259" i="17" s="1"/>
  <c r="L260" i="17"/>
  <c r="L261" i="17"/>
  <c r="L262" i="17"/>
  <c r="L263" i="17"/>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L280" i="17"/>
  <c r="M280" i="17" s="1"/>
  <c r="L281" i="17"/>
  <c r="M281" i="17" s="1"/>
  <c r="L282" i="17"/>
  <c r="M282" i="17" s="1"/>
  <c r="L283" i="17"/>
  <c r="M283" i="17" s="1"/>
  <c r="L284" i="17"/>
  <c r="M284" i="17" s="1"/>
  <c r="L285" i="17"/>
  <c r="L286" i="17"/>
  <c r="L287" i="17"/>
  <c r="L288" i="17"/>
  <c r="L289" i="17"/>
  <c r="L290" i="17"/>
  <c r="M290" i="17" s="1"/>
  <c r="L291" i="17"/>
  <c r="M291" i="17" s="1"/>
  <c r="L292" i="17"/>
  <c r="M292" i="17" s="1"/>
  <c r="L293" i="17"/>
  <c r="L294" i="17"/>
  <c r="L295" i="17"/>
  <c r="M295" i="17" s="1"/>
  <c r="L296" i="17"/>
  <c r="M296" i="17" s="1"/>
  <c r="L297" i="17"/>
  <c r="M297" i="17" s="1"/>
  <c r="L298" i="17"/>
  <c r="M298" i="17" s="1"/>
  <c r="L299" i="17"/>
  <c r="M299" i="17" s="1"/>
  <c r="L300" i="17"/>
  <c r="M300" i="17" s="1"/>
  <c r="L301" i="17"/>
  <c r="L302" i="17"/>
  <c r="M302" i="17" s="1"/>
  <c r="L303" i="17"/>
  <c r="M303" i="17" s="1"/>
  <c r="L304" i="17"/>
  <c r="M304" i="17" s="1"/>
  <c r="L305" i="17"/>
  <c r="M305" i="17" s="1"/>
  <c r="L306" i="17"/>
  <c r="M306" i="17" s="1"/>
  <c r="L307" i="17"/>
  <c r="M307" i="17" s="1"/>
  <c r="L308" i="17"/>
  <c r="L309" i="17"/>
  <c r="L310" i="17"/>
  <c r="L311" i="17"/>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L323" i="17"/>
  <c r="L324" i="17"/>
  <c r="L325" i="17"/>
  <c r="L326" i="17"/>
  <c r="L327" i="17"/>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L350" i="17"/>
  <c r="L351" i="17"/>
  <c r="L352" i="17"/>
  <c r="L353" i="17"/>
  <c r="L354" i="17"/>
  <c r="L355" i="17"/>
  <c r="M355" i="17" s="1"/>
  <c r="L356" i="17"/>
  <c r="M356" i="17" s="1"/>
  <c r="L357" i="17"/>
  <c r="M357" i="17" s="1"/>
  <c r="L358" i="17"/>
  <c r="L359" i="17"/>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L373" i="17"/>
  <c r="L374" i="17"/>
  <c r="M374" i="17" s="1"/>
  <c r="L375" i="17"/>
  <c r="M375" i="17" s="1"/>
  <c r="L376" i="17"/>
  <c r="M376" i="17" s="1"/>
  <c r="L377" i="17"/>
  <c r="M377" i="17" s="1"/>
  <c r="L378" i="17"/>
  <c r="M378" i="17" s="1"/>
  <c r="L379" i="17"/>
  <c r="M379" i="17" s="1"/>
  <c r="L380" i="17"/>
  <c r="M380" i="17" s="1"/>
  <c r="L381" i="17"/>
  <c r="L382" i="17"/>
  <c r="L383" i="17"/>
  <c r="L384" i="17"/>
  <c r="L385" i="17"/>
  <c r="L386" i="17"/>
  <c r="L387" i="17"/>
  <c r="M387" i="17" s="1"/>
  <c r="L388" i="17"/>
  <c r="M388" i="17" s="1"/>
  <c r="L389" i="17"/>
  <c r="M389" i="17" s="1"/>
  <c r="L390" i="17"/>
  <c r="L391" i="17"/>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L405" i="17"/>
  <c r="L406" i="17"/>
  <c r="L407" i="17"/>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L420" i="17"/>
  <c r="L421" i="17"/>
  <c r="L422" i="17"/>
  <c r="L423" i="17"/>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L446" i="17"/>
  <c r="L447" i="17"/>
  <c r="L448" i="17"/>
  <c r="L449" i="17"/>
  <c r="L450" i="17"/>
  <c r="L451" i="17"/>
  <c r="L452" i="17"/>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L469" i="17"/>
  <c r="L470" i="17"/>
  <c r="L471" i="17"/>
  <c r="L472" i="17"/>
  <c r="M472" i="17" s="1"/>
  <c r="L473" i="17"/>
  <c r="M473" i="17" s="1"/>
  <c r="L474" i="17"/>
  <c r="M474" i="17" s="1"/>
  <c r="L475" i="17"/>
  <c r="M475" i="17" s="1"/>
  <c r="L476" i="17"/>
  <c r="M476" i="17" s="1"/>
  <c r="L477" i="17"/>
  <c r="M477" i="17" s="1"/>
  <c r="L478" i="17"/>
  <c r="L479" i="17"/>
  <c r="L480" i="17"/>
  <c r="L481" i="17"/>
  <c r="L482" i="17"/>
  <c r="L483" i="17"/>
  <c r="L484" i="17"/>
  <c r="M484" i="17" s="1"/>
  <c r="L485" i="17"/>
  <c r="M485" i="17" s="1"/>
  <c r="L486" i="17"/>
  <c r="M486" i="17" s="1"/>
  <c r="L487" i="17"/>
  <c r="M487" i="17" s="1"/>
  <c r="L488" i="17"/>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L501" i="17"/>
  <c r="L502" i="17"/>
  <c r="L503" i="17"/>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L517" i="17"/>
  <c r="L518" i="17"/>
  <c r="L519" i="17"/>
  <c r="L520" i="17"/>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L543" i="17"/>
  <c r="L544" i="17"/>
  <c r="L545" i="17"/>
  <c r="L546" i="17"/>
  <c r="L547" i="17"/>
  <c r="L548" i="17"/>
  <c r="L549" i="17"/>
  <c r="L550" i="17"/>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L565" i="17"/>
  <c r="L566" i="17"/>
  <c r="L567" i="17"/>
  <c r="L568" i="17"/>
  <c r="M568" i="17" s="1"/>
  <c r="L569" i="17"/>
  <c r="M569" i="17" s="1"/>
  <c r="L570" i="17"/>
  <c r="M570" i="17" s="1"/>
  <c r="L571" i="17"/>
  <c r="M571" i="17" s="1"/>
  <c r="L572" i="17"/>
  <c r="M572" i="17" s="1"/>
  <c r="L573" i="17"/>
  <c r="M573" i="17" s="1"/>
  <c r="L574" i="17"/>
  <c r="M574" i="17" s="1"/>
  <c r="L575" i="17"/>
  <c r="M575" i="17" s="1"/>
  <c r="L576" i="17"/>
  <c r="L577" i="17"/>
  <c r="L578" i="17"/>
  <c r="L579" i="17"/>
  <c r="L580" i="17"/>
  <c r="L581" i="17"/>
  <c r="M581" i="17" s="1"/>
  <c r="L582" i="17"/>
  <c r="M582" i="17" s="1"/>
  <c r="L583" i="17"/>
  <c r="M583" i="17" s="1"/>
  <c r="L584" i="17"/>
  <c r="M584" i="17" s="1"/>
  <c r="L585" i="17"/>
  <c r="L586" i="17"/>
  <c r="M586" i="17" s="1"/>
  <c r="L587" i="17"/>
  <c r="M587" i="17" s="1"/>
  <c r="L588" i="17"/>
  <c r="M588" i="17" s="1"/>
  <c r="L589" i="17"/>
  <c r="L590" i="17"/>
  <c r="M590" i="17" s="1"/>
  <c r="L591" i="17"/>
  <c r="M591" i="17" s="1"/>
  <c r="L592" i="17"/>
  <c r="M592" i="17" s="1"/>
  <c r="L593" i="17"/>
  <c r="M593" i="17" s="1"/>
  <c r="L594" i="17"/>
  <c r="M594" i="17" s="1"/>
  <c r="L595" i="17"/>
  <c r="M595" i="17" s="1"/>
  <c r="L596" i="17"/>
  <c r="L597" i="17"/>
  <c r="L598" i="17"/>
  <c r="L599" i="17"/>
  <c r="L600" i="17"/>
  <c r="M600" i="17" s="1"/>
  <c r="L601" i="17"/>
  <c r="M601" i="17" s="1"/>
  <c r="L602" i="17"/>
  <c r="M602" i="17" s="1"/>
  <c r="L603" i="17"/>
  <c r="M603" i="17" s="1"/>
  <c r="L604" i="17"/>
  <c r="M604" i="17" s="1"/>
  <c r="L605" i="17"/>
  <c r="L606" i="17"/>
  <c r="M606" i="17" s="1"/>
  <c r="L607" i="17"/>
  <c r="M607" i="17" s="1"/>
  <c r="L608" i="17"/>
  <c r="M608" i="17" s="1"/>
  <c r="L609" i="17"/>
  <c r="M609" i="17" s="1"/>
  <c r="L610" i="17"/>
  <c r="L611" i="17"/>
  <c r="M611" i="17" s="1"/>
  <c r="L612" i="17"/>
  <c r="M612" i="17" s="1"/>
  <c r="L613" i="17"/>
  <c r="M613" i="17" s="1"/>
  <c r="L614" i="17"/>
  <c r="L615" i="17"/>
  <c r="L616" i="17"/>
  <c r="L617" i="17"/>
  <c r="L618" i="17"/>
  <c r="M618" i="17" s="1"/>
  <c r="L619" i="17"/>
  <c r="M619" i="17" s="1"/>
  <c r="L620" i="17"/>
  <c r="M620" i="17" s="1"/>
  <c r="L621" i="17"/>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L639" i="17"/>
  <c r="L640" i="17"/>
  <c r="L641" i="17"/>
  <c r="L642" i="17"/>
  <c r="L643" i="17"/>
  <c r="L644" i="17"/>
  <c r="L645" i="17"/>
  <c r="L646" i="17"/>
  <c r="L647" i="17"/>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L661" i="17"/>
  <c r="L662" i="17"/>
  <c r="L663" i="17"/>
  <c r="L664" i="17"/>
  <c r="M664" i="17" s="1"/>
  <c r="L665" i="17"/>
  <c r="M665" i="17" s="1"/>
  <c r="L666" i="17"/>
  <c r="M666" i="17" s="1"/>
  <c r="L667" i="17"/>
  <c r="M667" i="17" s="1"/>
  <c r="L668" i="17"/>
  <c r="M668" i="17" s="1"/>
  <c r="L669" i="17"/>
  <c r="L670" i="17"/>
  <c r="L671" i="17"/>
  <c r="M671" i="17" s="1"/>
  <c r="L672" i="17"/>
  <c r="M672" i="17" s="1"/>
  <c r="L673" i="17"/>
  <c r="M673" i="17" s="1"/>
  <c r="L674" i="17"/>
  <c r="L675" i="17"/>
  <c r="L676" i="17"/>
  <c r="L677" i="17"/>
  <c r="L678" i="17"/>
  <c r="M678" i="17" s="1"/>
  <c r="L679" i="17"/>
  <c r="M679" i="17" s="1"/>
  <c r="L680" i="17"/>
  <c r="M680" i="17" s="1"/>
  <c r="L681" i="17"/>
  <c r="M681" i="17" s="1"/>
  <c r="L682" i="17"/>
  <c r="M682" i="17" s="1"/>
  <c r="L683" i="17"/>
  <c r="M683" i="17" s="1"/>
  <c r="L684" i="17"/>
  <c r="M684" i="17" s="1"/>
  <c r="L685" i="17"/>
  <c r="L686" i="17"/>
  <c r="M686" i="17" s="1"/>
  <c r="L687" i="17"/>
  <c r="M687" i="17" s="1"/>
  <c r="L688" i="17"/>
  <c r="M688" i="17" s="1"/>
  <c r="L689" i="17"/>
  <c r="M689" i="17" s="1"/>
  <c r="L690" i="17"/>
  <c r="M690" i="17" s="1"/>
  <c r="L691" i="17"/>
  <c r="M691" i="17" s="1"/>
  <c r="L692" i="17"/>
  <c r="M692" i="17" s="1"/>
  <c r="L693" i="17"/>
  <c r="L694" i="17"/>
  <c r="L695" i="17"/>
  <c r="L696" i="17"/>
  <c r="M696" i="17" s="1"/>
  <c r="L697" i="17"/>
  <c r="M697" i="17" s="1"/>
  <c r="L698" i="17"/>
  <c r="M698" i="17" s="1"/>
  <c r="L699" i="17"/>
  <c r="M699" i="17" s="1"/>
  <c r="L700" i="17"/>
  <c r="M700" i="17" s="1"/>
  <c r="L701" i="17"/>
  <c r="L702" i="17"/>
  <c r="L703" i="17"/>
  <c r="M703" i="17" s="1"/>
  <c r="L704" i="17"/>
  <c r="M704" i="17" s="1"/>
  <c r="L705" i="17"/>
  <c r="M705" i="17" s="1"/>
  <c r="L706" i="17"/>
  <c r="M706" i="17" s="1"/>
  <c r="L707" i="17"/>
  <c r="L708" i="17"/>
  <c r="L709" i="17"/>
  <c r="M709" i="17" s="1"/>
  <c r="L710" i="17"/>
  <c r="M710" i="17" s="1"/>
  <c r="L711" i="17"/>
  <c r="M711" i="17" s="1"/>
  <c r="L712" i="17"/>
  <c r="M712" i="17" s="1"/>
  <c r="L713" i="17"/>
  <c r="M713" i="17" s="1"/>
  <c r="L714" i="17"/>
  <c r="M714" i="17" s="1"/>
  <c r="L715" i="17"/>
  <c r="M715" i="17" s="1"/>
  <c r="L716" i="17"/>
  <c r="M716" i="17" s="1"/>
  <c r="L717" i="17"/>
  <c r="L718" i="17"/>
  <c r="M718" i="17" s="1"/>
  <c r="L719" i="17"/>
  <c r="M719" i="17" s="1"/>
  <c r="L720" i="17"/>
  <c r="M720" i="17" s="1"/>
  <c r="L721" i="17"/>
  <c r="M721" i="17" s="1"/>
  <c r="L722" i="17"/>
  <c r="M722" i="17" s="1"/>
  <c r="L723" i="17"/>
  <c r="M723" i="17" s="1"/>
  <c r="L724" i="17"/>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L736" i="17"/>
  <c r="L737" i="17"/>
  <c r="L738" i="17"/>
  <c r="L739" i="17"/>
  <c r="L740" i="17"/>
  <c r="L741" i="17"/>
  <c r="L742" i="17"/>
  <c r="L743" i="17"/>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L757" i="17"/>
  <c r="L758" i="17"/>
  <c r="L759" i="17"/>
  <c r="L760" i="17"/>
  <c r="M760" i="17" s="1"/>
  <c r="L761" i="17"/>
  <c r="M761" i="17" s="1"/>
  <c r="L762" i="17"/>
  <c r="M762" i="17" s="1"/>
  <c r="L763" i="17"/>
  <c r="M763" i="17" s="1"/>
  <c r="L764" i="17"/>
  <c r="M764" i="17" s="1"/>
  <c r="L765" i="17"/>
  <c r="L766" i="17"/>
  <c r="L767" i="17"/>
  <c r="L768" i="17"/>
  <c r="L769" i="17"/>
  <c r="M769" i="17" s="1"/>
  <c r="L770" i="17"/>
  <c r="M770" i="17" s="1"/>
  <c r="L771" i="17"/>
  <c r="M771" i="17" s="1"/>
  <c r="L772" i="17"/>
  <c r="L773" i="17"/>
  <c r="L774" i="17"/>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L792" i="17"/>
  <c r="M792" i="17" s="1"/>
  <c r="L793" i="17"/>
  <c r="M793" i="17" s="1"/>
  <c r="L794" i="17"/>
  <c r="M794" i="17" s="1"/>
  <c r="L795" i="17"/>
  <c r="M795" i="17" s="1"/>
  <c r="L796" i="17"/>
  <c r="M796" i="17" s="1"/>
  <c r="L797" i="17"/>
  <c r="L798" i="17"/>
  <c r="L799" i="17"/>
  <c r="L800" i="17"/>
  <c r="M800" i="17" s="1"/>
  <c r="L801" i="17"/>
  <c r="M801" i="17" s="1"/>
  <c r="L802" i="17"/>
  <c r="M802" i="17" s="1"/>
  <c r="L803" i="17"/>
  <c r="M803" i="17" s="1"/>
  <c r="L804" i="17"/>
  <c r="L805" i="17"/>
  <c r="L806" i="17"/>
  <c r="L807" i="17"/>
  <c r="M807" i="17" s="1"/>
  <c r="L808" i="17"/>
  <c r="M808" i="17" s="1"/>
  <c r="L809" i="17"/>
  <c r="M809" i="17" s="1"/>
  <c r="L810" i="17"/>
  <c r="M810" i="17" s="1"/>
  <c r="L811" i="17"/>
  <c r="M811" i="17" s="1"/>
  <c r="L812" i="17"/>
  <c r="M812" i="17" s="1"/>
  <c r="L813" i="17"/>
  <c r="L814" i="17"/>
  <c r="M814" i="17" s="1"/>
  <c r="L815" i="17"/>
  <c r="M815" i="17" s="1"/>
  <c r="L816" i="17"/>
  <c r="M816" i="17" s="1"/>
  <c r="L817" i="17"/>
  <c r="M817" i="17" s="1"/>
  <c r="L818" i="17"/>
  <c r="M818" i="17" s="1"/>
  <c r="L819" i="17"/>
  <c r="M819" i="17" s="1"/>
  <c r="L820" i="17"/>
  <c r="L821" i="17"/>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L833" i="17"/>
  <c r="L834" i="17"/>
  <c r="L835" i="17"/>
  <c r="L836" i="17"/>
  <c r="L837" i="17"/>
  <c r="L838" i="17"/>
  <c r="L839" i="17"/>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L854" i="17"/>
  <c r="L855" i="17"/>
  <c r="L856" i="17"/>
  <c r="M856" i="17" s="1"/>
  <c r="L857" i="17"/>
  <c r="M857" i="17" s="1"/>
  <c r="L858" i="17"/>
  <c r="M858" i="17" s="1"/>
  <c r="L859" i="17"/>
  <c r="M859" i="17" s="1"/>
  <c r="L860" i="17"/>
  <c r="M860" i="17" s="1"/>
  <c r="L861" i="17"/>
  <c r="L862" i="17"/>
  <c r="L863" i="17"/>
  <c r="L864" i="17"/>
  <c r="L865" i="17"/>
  <c r="L866" i="17"/>
  <c r="L867" i="17"/>
  <c r="M867" i="17" s="1"/>
  <c r="L868" i="17"/>
  <c r="M868" i="17" s="1"/>
  <c r="L869" i="17"/>
  <c r="M869" i="17" s="1"/>
  <c r="L870" i="17"/>
  <c r="L871" i="17"/>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L885" i="17"/>
  <c r="L886" i="17"/>
  <c r="M886" i="17" s="1"/>
  <c r="L887" i="17"/>
  <c r="M887" i="17" s="1"/>
  <c r="L888" i="17"/>
  <c r="M888" i="17" s="1"/>
  <c r="L889" i="17"/>
  <c r="M889" i="17" s="1"/>
  <c r="L890" i="17"/>
  <c r="M890" i="17" s="1"/>
  <c r="L891" i="17"/>
  <c r="M891" i="17" s="1"/>
  <c r="L892" i="17"/>
  <c r="M892" i="17" s="1"/>
  <c r="L893" i="17"/>
  <c r="L894" i="17"/>
  <c r="L895" i="17"/>
  <c r="L896" i="17"/>
  <c r="M896" i="17" s="1"/>
  <c r="L897" i="17"/>
  <c r="M897" i="17" s="1"/>
  <c r="L898" i="17"/>
  <c r="M898" i="17" s="1"/>
  <c r="L899" i="17"/>
  <c r="M899" i="17" s="1"/>
  <c r="L900" i="17"/>
  <c r="L901" i="17"/>
  <c r="L902" i="17"/>
  <c r="L903" i="17"/>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L928" i="17"/>
  <c r="L929" i="17"/>
  <c r="L930" i="17"/>
  <c r="L931" i="17"/>
  <c r="L932" i="17"/>
  <c r="L933" i="17"/>
  <c r="L934" i="17"/>
  <c r="L935" i="17"/>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L949" i="17"/>
  <c r="L950" i="17"/>
  <c r="L951" i="17"/>
  <c r="L952" i="17"/>
  <c r="M952" i="17" s="1"/>
  <c r="L953" i="17"/>
  <c r="M953" i="17" s="1"/>
  <c r="L954" i="17"/>
  <c r="M954" i="17" s="1"/>
  <c r="L955" i="17"/>
  <c r="M955" i="17" s="1"/>
  <c r="L956" i="17"/>
  <c r="M956" i="17" s="1"/>
  <c r="L957" i="17"/>
  <c r="L958" i="17"/>
  <c r="L959" i="17"/>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L974" i="17"/>
  <c r="L975" i="17"/>
  <c r="L976" i="17"/>
  <c r="L977" i="17"/>
  <c r="L978" i="17"/>
  <c r="M978" i="17" s="1"/>
  <c r="L979" i="17"/>
  <c r="M979" i="17" s="1"/>
  <c r="L980" i="17"/>
  <c r="M980" i="17" s="1"/>
  <c r="L981" i="17"/>
  <c r="L982" i="17"/>
  <c r="L983" i="17"/>
  <c r="L984" i="17"/>
  <c r="M984" i="17" s="1"/>
  <c r="L985" i="17"/>
  <c r="M985" i="17" s="1"/>
  <c r="L986" i="17"/>
  <c r="M986" i="17" s="1"/>
  <c r="L987" i="17"/>
  <c r="M987" i="17" s="1"/>
  <c r="L988" i="17"/>
  <c r="M988" i="17" s="1"/>
  <c r="L989" i="17"/>
  <c r="L990" i="17"/>
  <c r="L991" i="17"/>
  <c r="L992" i="17"/>
  <c r="M992" i="17" s="1"/>
  <c r="L993" i="17"/>
  <c r="M993" i="17" s="1"/>
  <c r="L994" i="17"/>
  <c r="M994" i="17" s="1"/>
  <c r="L995" i="17"/>
  <c r="M995" i="17" s="1"/>
  <c r="L996" i="17"/>
  <c r="M996" i="17" s="1"/>
  <c r="L997" i="17"/>
  <c r="L998" i="17"/>
  <c r="L999" i="17"/>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2" i="17"/>
  <c r="K2" i="17"/>
  <c r="J3" i="17"/>
  <c r="O3" i="17" s="1"/>
  <c r="J4" i="17"/>
  <c r="J5" i="17"/>
  <c r="J6" i="17"/>
  <c r="J7" i="17"/>
  <c r="J8" i="17"/>
  <c r="O8" i="17" s="1"/>
  <c r="J9" i="17"/>
  <c r="O9" i="17" s="1"/>
  <c r="J10" i="17"/>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J37" i="17"/>
  <c r="J38" i="17"/>
  <c r="J39" i="17"/>
  <c r="O39" i="17" s="1"/>
  <c r="J40" i="17"/>
  <c r="O40" i="17" s="1"/>
  <c r="J41" i="17"/>
  <c r="O41" i="17" s="1"/>
  <c r="J42" i="17"/>
  <c r="O42" i="17" s="1"/>
  <c r="J43" i="17"/>
  <c r="O43" i="17" s="1"/>
  <c r="J44" i="17"/>
  <c r="O44" i="17" s="1"/>
  <c r="J45" i="17"/>
  <c r="O45" i="17" s="1"/>
  <c r="J46" i="17"/>
  <c r="J47" i="17"/>
  <c r="J48" i="17"/>
  <c r="J49" i="17"/>
  <c r="J50" i="17"/>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J63" i="17"/>
  <c r="J64" i="17"/>
  <c r="O64" i="17" s="1"/>
  <c r="J65" i="17"/>
  <c r="O65" i="17" s="1"/>
  <c r="J66" i="17"/>
  <c r="O66" i="17" s="1"/>
  <c r="J67" i="17"/>
  <c r="O67" i="17" s="1"/>
  <c r="J68" i="17"/>
  <c r="J69" i="17"/>
  <c r="J70" i="17"/>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J98" i="17"/>
  <c r="J99" i="17"/>
  <c r="J100" i="17"/>
  <c r="J101" i="17"/>
  <c r="J102" i="17"/>
  <c r="J103" i="17"/>
  <c r="J104" i="17"/>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J119" i="17"/>
  <c r="O119" i="17" s="1"/>
  <c r="J120" i="17"/>
  <c r="O120" i="17" s="1"/>
  <c r="J121" i="17"/>
  <c r="O121" i="17" s="1"/>
  <c r="J122" i="17"/>
  <c r="O122" i="17" s="1"/>
  <c r="J123" i="17"/>
  <c r="O123" i="17" s="1"/>
  <c r="J124" i="17"/>
  <c r="O124" i="17" s="1"/>
  <c r="J125" i="17"/>
  <c r="O125" i="17" s="1"/>
  <c r="J126" i="17"/>
  <c r="J127" i="17"/>
  <c r="J128" i="17"/>
  <c r="J129" i="17"/>
  <c r="J130" i="17"/>
  <c r="J131" i="17"/>
  <c r="O131" i="17" s="1"/>
  <c r="J132" i="17"/>
  <c r="O132" i="17" s="1"/>
  <c r="J133" i="17"/>
  <c r="O133" i="17" s="1"/>
  <c r="J134" i="17"/>
  <c r="J135" i="17"/>
  <c r="J136" i="17"/>
  <c r="O136" i="17" s="1"/>
  <c r="J137" i="17"/>
  <c r="O137" i="17" s="1"/>
  <c r="J138" i="17"/>
  <c r="O138" i="17" s="1"/>
  <c r="J139" i="17"/>
  <c r="O139" i="17" s="1"/>
  <c r="J140" i="17"/>
  <c r="O140" i="17" s="1"/>
  <c r="J141" i="17"/>
  <c r="O141" i="17" s="1"/>
  <c r="J142" i="17"/>
  <c r="O142" i="17" s="1"/>
  <c r="J143" i="17"/>
  <c r="J144" i="17"/>
  <c r="J145" i="17"/>
  <c r="J146" i="17"/>
  <c r="J147" i="17"/>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J166" i="17"/>
  <c r="J167" i="17"/>
  <c r="O167" i="17" s="1"/>
  <c r="J168" i="17"/>
  <c r="O168" i="17" s="1"/>
  <c r="J169" i="17"/>
  <c r="O169" i="17" s="1"/>
  <c r="J170" i="17"/>
  <c r="O170" i="17" s="1"/>
  <c r="J171" i="17"/>
  <c r="O171" i="17" s="1"/>
  <c r="J172" i="17"/>
  <c r="O172" i="17" s="1"/>
  <c r="J173" i="17"/>
  <c r="O173" i="17" s="1"/>
  <c r="J174" i="17"/>
  <c r="O174" i="17" s="1"/>
  <c r="J175" i="17"/>
  <c r="J176" i="17"/>
  <c r="J177" i="17"/>
  <c r="J178" i="17"/>
  <c r="J179" i="17"/>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J195" i="17"/>
  <c r="J196" i="17"/>
  <c r="J197" i="17"/>
  <c r="J198" i="17"/>
  <c r="J199" i="17"/>
  <c r="O199" i="17" s="1"/>
  <c r="J200" i="17"/>
  <c r="O200" i="17" s="1"/>
  <c r="J201" i="17"/>
  <c r="O201" i="17" s="1"/>
  <c r="J202" i="17"/>
  <c r="O202" i="17" s="1"/>
  <c r="J203" i="17"/>
  <c r="O203" i="17" s="1"/>
  <c r="J204" i="17"/>
  <c r="O204" i="17" s="1"/>
  <c r="J205" i="17"/>
  <c r="O205" i="17" s="1"/>
  <c r="J206" i="17"/>
  <c r="J207" i="17"/>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J224" i="17"/>
  <c r="J225" i="17"/>
  <c r="J226" i="17"/>
  <c r="J227" i="17"/>
  <c r="J228" i="17"/>
  <c r="J229" i="17"/>
  <c r="O229" i="17" s="1"/>
  <c r="J230" i="17"/>
  <c r="O230" i="17" s="1"/>
  <c r="J231" i="17"/>
  <c r="O231" i="17" s="1"/>
  <c r="J232" i="17"/>
  <c r="J233" i="17"/>
  <c r="O233" i="17" s="1"/>
  <c r="J234" i="17"/>
  <c r="O234" i="17" s="1"/>
  <c r="J235" i="17"/>
  <c r="O235" i="17" s="1"/>
  <c r="J236" i="17"/>
  <c r="O236" i="17" s="1"/>
  <c r="J237" i="17"/>
  <c r="O237" i="17" s="1"/>
  <c r="J238" i="17"/>
  <c r="O238" i="17" s="1"/>
  <c r="J239" i="17"/>
  <c r="O239" i="17" s="1"/>
  <c r="J240" i="17"/>
  <c r="J241" i="17"/>
  <c r="O241" i="17" s="1"/>
  <c r="J242" i="17"/>
  <c r="O242" i="17" s="1"/>
  <c r="J243" i="17"/>
  <c r="O243" i="17" s="1"/>
  <c r="J244" i="17"/>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J274" i="17"/>
  <c r="J275" i="17"/>
  <c r="J276" i="17"/>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J293" i="17"/>
  <c r="J294" i="17"/>
  <c r="J295" i="17"/>
  <c r="O295" i="17" s="1"/>
  <c r="J296" i="17"/>
  <c r="O296" i="17" s="1"/>
  <c r="J297" i="17"/>
  <c r="O297" i="17" s="1"/>
  <c r="J298" i="17"/>
  <c r="O298" i="17" s="1"/>
  <c r="J299" i="17"/>
  <c r="O299" i="17" s="1"/>
  <c r="J300" i="17"/>
  <c r="O300" i="17" s="1"/>
  <c r="J301" i="17"/>
  <c r="O301" i="17" s="1"/>
  <c r="J302" i="17"/>
  <c r="J303" i="17"/>
  <c r="J304" i="17"/>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J321" i="17"/>
  <c r="J322" i="17"/>
  <c r="J323" i="17"/>
  <c r="J324" i="17"/>
  <c r="J325" i="17"/>
  <c r="J326" i="17"/>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J341" i="17"/>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J353" i="17"/>
  <c r="J354" i="17"/>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J367" i="17"/>
  <c r="O367" i="17" s="1"/>
  <c r="J368" i="17"/>
  <c r="O368" i="17" s="1"/>
  <c r="J369" i="17"/>
  <c r="O369" i="17" s="1"/>
  <c r="J370" i="17"/>
  <c r="O370" i="17" s="1"/>
  <c r="J371" i="17"/>
  <c r="O371" i="17" s="1"/>
  <c r="J372" i="17"/>
  <c r="J373" i="17"/>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J391" i="17"/>
  <c r="O391" i="17" s="1"/>
  <c r="J392" i="17"/>
  <c r="O392" i="17" s="1"/>
  <c r="J393" i="17"/>
  <c r="O393" i="17" s="1"/>
  <c r="J394" i="17"/>
  <c r="O394" i="17" s="1"/>
  <c r="J395" i="17"/>
  <c r="O395" i="17" s="1"/>
  <c r="J396" i="17"/>
  <c r="O396" i="17" s="1"/>
  <c r="J397" i="17"/>
  <c r="O397" i="17" s="1"/>
  <c r="J398" i="17"/>
  <c r="J399" i="17"/>
  <c r="J400" i="17"/>
  <c r="J401" i="17"/>
  <c r="J402" i="17"/>
  <c r="O402" i="17" s="1"/>
  <c r="J403" i="17"/>
  <c r="O403" i="17" s="1"/>
  <c r="J404" i="17"/>
  <c r="O404" i="17" s="1"/>
  <c r="J405" i="17"/>
  <c r="O405" i="17" s="1"/>
  <c r="J406" i="17"/>
  <c r="O406" i="17" s="1"/>
  <c r="J407" i="17"/>
  <c r="O407" i="17" s="1"/>
  <c r="J408" i="17"/>
  <c r="O408" i="17" s="1"/>
  <c r="J409" i="17"/>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J421" i="17"/>
  <c r="J422" i="17"/>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J437" i="17"/>
  <c r="J438" i="17"/>
  <c r="J439" i="17"/>
  <c r="O439" i="17" s="1"/>
  <c r="J440" i="17"/>
  <c r="O440" i="17" s="1"/>
  <c r="J441" i="17"/>
  <c r="O441" i="17" s="1"/>
  <c r="J442" i="17"/>
  <c r="O442" i="17" s="1"/>
  <c r="J443" i="17"/>
  <c r="O443" i="17" s="1"/>
  <c r="J444" i="17"/>
  <c r="O444" i="17" s="1"/>
  <c r="J445" i="17"/>
  <c r="O445" i="17" s="1"/>
  <c r="J446" i="17"/>
  <c r="J447" i="17"/>
  <c r="O447" i="17" s="1"/>
  <c r="J448" i="17"/>
  <c r="O448" i="17" s="1"/>
  <c r="J449" i="17"/>
  <c r="O449" i="17" s="1"/>
  <c r="J450" i="17"/>
  <c r="J451" i="17"/>
  <c r="J452" i="17"/>
  <c r="O452" i="17" s="1"/>
  <c r="J453" i="17"/>
  <c r="O453" i="17" s="1"/>
  <c r="J454" i="17"/>
  <c r="O454" i="17" s="1"/>
  <c r="J455" i="17"/>
  <c r="O455" i="17" s="1"/>
  <c r="J456" i="17"/>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J470" i="17"/>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J483" i="17"/>
  <c r="J484" i="17"/>
  <c r="J485" i="17"/>
  <c r="O485" i="17" s="1"/>
  <c r="J486" i="17"/>
  <c r="O486" i="17" s="1"/>
  <c r="J487" i="17"/>
  <c r="O487" i="17" s="1"/>
  <c r="J488" i="17"/>
  <c r="O488" i="17" s="1"/>
  <c r="J489" i="17"/>
  <c r="O489" i="17" s="1"/>
  <c r="J490" i="17"/>
  <c r="O490" i="17" s="1"/>
  <c r="J491" i="17"/>
  <c r="O491" i="17" s="1"/>
  <c r="J492" i="17"/>
  <c r="O492" i="17" s="1"/>
  <c r="J493" i="17"/>
  <c r="O493" i="17" s="1"/>
  <c r="J494" i="17"/>
  <c r="J495" i="17"/>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J517" i="17"/>
  <c r="J518" i="17"/>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J532" i="17"/>
  <c r="J533" i="17"/>
  <c r="J534" i="17"/>
  <c r="J535" i="17"/>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J549" i="17"/>
  <c r="O549" i="17" s="1"/>
  <c r="J550" i="17"/>
  <c r="O550" i="17" s="1"/>
  <c r="J551" i="17"/>
  <c r="O551" i="17" s="1"/>
  <c r="J552" i="17"/>
  <c r="O552" i="17" s="1"/>
  <c r="J553" i="17"/>
  <c r="O553" i="17" s="1"/>
  <c r="J554" i="17"/>
  <c r="O554" i="17" s="1"/>
  <c r="J555" i="17"/>
  <c r="O555" i="17" s="1"/>
  <c r="J556" i="17"/>
  <c r="O556" i="17" s="1"/>
  <c r="J557" i="17"/>
  <c r="O557" i="17" s="1"/>
  <c r="J558" i="17"/>
  <c r="J559" i="17"/>
  <c r="J560" i="17"/>
  <c r="J561" i="17"/>
  <c r="J562" i="17"/>
  <c r="J563" i="17"/>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J580" i="17"/>
  <c r="J581" i="17"/>
  <c r="J582" i="17"/>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J613" i="17"/>
  <c r="J614" i="17"/>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J629" i="17"/>
  <c r="J630" i="17"/>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J655" i="17"/>
  <c r="J656" i="17"/>
  <c r="J657" i="17"/>
  <c r="J658" i="17"/>
  <c r="J659" i="17"/>
  <c r="J660" i="17"/>
  <c r="J661" i="17"/>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J677" i="17"/>
  <c r="J678" i="17"/>
  <c r="J679" i="17"/>
  <c r="O679" i="17" s="1"/>
  <c r="J680" i="17"/>
  <c r="O680" i="17" s="1"/>
  <c r="J681" i="17"/>
  <c r="O681" i="17" s="1"/>
  <c r="J682" i="17"/>
  <c r="O682" i="17" s="1"/>
  <c r="J683" i="17"/>
  <c r="O683" i="17" s="1"/>
  <c r="J684" i="17"/>
  <c r="O684" i="17" s="1"/>
  <c r="J685" i="17"/>
  <c r="O685" i="17" s="1"/>
  <c r="J686" i="17"/>
  <c r="O686" i="17" s="1"/>
  <c r="J687" i="17"/>
  <c r="J688" i="17"/>
  <c r="J689" i="17"/>
  <c r="J690" i="17"/>
  <c r="J691" i="17"/>
  <c r="J692" i="17"/>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J709" i="17"/>
  <c r="J710" i="17"/>
  <c r="J711" i="17"/>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J726" i="17"/>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J738" i="17"/>
  <c r="J739" i="17"/>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J751" i="17"/>
  <c r="J752" i="17"/>
  <c r="J753" i="17"/>
  <c r="J754" i="17"/>
  <c r="J755" i="17"/>
  <c r="O755" i="17" s="1"/>
  <c r="J756" i="17"/>
  <c r="J757" i="17"/>
  <c r="J758" i="17"/>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J773" i="17"/>
  <c r="J774" i="17"/>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J786" i="17"/>
  <c r="J787" i="17"/>
  <c r="J788" i="17"/>
  <c r="J789" i="17"/>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J805" i="17"/>
  <c r="J806" i="17"/>
  <c r="J807" i="17"/>
  <c r="O807" i="17" s="1"/>
  <c r="J808" i="17"/>
  <c r="O808" i="17" s="1"/>
  <c r="J809" i="17"/>
  <c r="O809" i="17" s="1"/>
  <c r="J810" i="17"/>
  <c r="O810" i="17" s="1"/>
  <c r="J811" i="17"/>
  <c r="O811" i="17" s="1"/>
  <c r="J812" i="17"/>
  <c r="O812" i="17" s="1"/>
  <c r="J813" i="17"/>
  <c r="O813" i="17" s="1"/>
  <c r="J814" i="17"/>
  <c r="J815" i="17"/>
  <c r="O815" i="17" s="1"/>
  <c r="J816" i="17"/>
  <c r="O816" i="17" s="1"/>
  <c r="J817" i="17"/>
  <c r="O817" i="17" s="1"/>
  <c r="J818" i="17"/>
  <c r="O818" i="17" s="1"/>
  <c r="J819" i="17"/>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J835" i="17"/>
  <c r="J836" i="17"/>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J853" i="17"/>
  <c r="J854" i="17"/>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J870" i="17"/>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J885" i="17"/>
  <c r="J886" i="17"/>
  <c r="J887" i="17"/>
  <c r="O887" i="17" s="1"/>
  <c r="J888" i="17"/>
  <c r="O888" i="17" s="1"/>
  <c r="J889" i="17"/>
  <c r="O889" i="17" s="1"/>
  <c r="J890" i="17"/>
  <c r="O890" i="17" s="1"/>
  <c r="J891" i="17"/>
  <c r="O891" i="17" s="1"/>
  <c r="J892" i="17"/>
  <c r="O892" i="17" s="1"/>
  <c r="J893" i="17"/>
  <c r="O893" i="17" s="1"/>
  <c r="J894" i="17"/>
  <c r="J895" i="17"/>
  <c r="O895" i="17" s="1"/>
  <c r="J896" i="17"/>
  <c r="O896" i="17" s="1"/>
  <c r="J897" i="17"/>
  <c r="O897" i="17" s="1"/>
  <c r="J898" i="17"/>
  <c r="O898" i="17" s="1"/>
  <c r="J899" i="17"/>
  <c r="O899" i="17" s="1"/>
  <c r="J900" i="17"/>
  <c r="O900" i="17" s="1"/>
  <c r="J901" i="17"/>
  <c r="O901" i="17" s="1"/>
  <c r="J902" i="17"/>
  <c r="J903" i="17"/>
  <c r="O903" i="17" s="1"/>
  <c r="J904" i="17"/>
  <c r="O904" i="17" s="1"/>
  <c r="J905" i="17"/>
  <c r="O905" i="17" s="1"/>
  <c r="J906" i="17"/>
  <c r="O906" i="17" s="1"/>
  <c r="J907" i="17"/>
  <c r="O907" i="17" s="1"/>
  <c r="J908" i="17"/>
  <c r="O908" i="17" s="1"/>
  <c r="J909" i="17"/>
  <c r="O909" i="17" s="1"/>
  <c r="J910" i="17"/>
  <c r="J911" i="17"/>
  <c r="J912" i="17"/>
  <c r="O912" i="17" s="1"/>
  <c r="J913" i="17"/>
  <c r="O913" i="17" s="1"/>
  <c r="J914" i="17"/>
  <c r="O914" i="17" s="1"/>
  <c r="J915" i="17"/>
  <c r="O915" i="17" s="1"/>
  <c r="J916" i="17"/>
  <c r="J917" i="17"/>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J933" i="17"/>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J945" i="17"/>
  <c r="J946" i="17"/>
  <c r="J947" i="17"/>
  <c r="J948" i="17"/>
  <c r="J949" i="17"/>
  <c r="J950" i="17"/>
  <c r="J951" i="17"/>
  <c r="J952" i="17"/>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J967" i="17"/>
  <c r="O967" i="17" s="1"/>
  <c r="J968" i="17"/>
  <c r="O968" i="17" s="1"/>
  <c r="J969" i="17"/>
  <c r="O969" i="17" s="1"/>
  <c r="J970" i="17"/>
  <c r="O970" i="17" s="1"/>
  <c r="J971" i="17"/>
  <c r="O971" i="17" s="1"/>
  <c r="J972" i="17"/>
  <c r="O972" i="17" s="1"/>
  <c r="J973" i="17"/>
  <c r="O973" i="17" s="1"/>
  <c r="J974" i="17"/>
  <c r="J975" i="17"/>
  <c r="J976" i="17"/>
  <c r="J977" i="17"/>
  <c r="J978" i="17"/>
  <c r="O978" i="17" s="1"/>
  <c r="J979" i="17"/>
  <c r="O979" i="17" s="1"/>
  <c r="J980" i="17"/>
  <c r="O980" i="17" s="1"/>
  <c r="J981" i="17"/>
  <c r="J982" i="17"/>
  <c r="J983" i="17"/>
  <c r="O983" i="17" s="1"/>
  <c r="J984" i="17"/>
  <c r="O984" i="17" s="1"/>
  <c r="J985" i="17"/>
  <c r="O985" i="17" s="1"/>
  <c r="J986" i="17"/>
  <c r="O986" i="17" s="1"/>
  <c r="J987" i="17"/>
  <c r="O987" i="17" s="1"/>
  <c r="J988" i="17"/>
  <c r="O988" i="17" s="1"/>
  <c r="J989" i="17"/>
  <c r="O989" i="17" s="1"/>
  <c r="J990" i="17"/>
  <c r="O990" i="17" s="1"/>
  <c r="J991" i="17"/>
  <c r="J992" i="17"/>
  <c r="O992" i="17" s="1"/>
  <c r="J993" i="17"/>
  <c r="O993" i="17" s="1"/>
  <c r="J994" i="17"/>
  <c r="O994" i="17" s="1"/>
  <c r="J995" i="17"/>
  <c r="O995" i="17" s="1"/>
  <c r="J996" i="17"/>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I13" i="17"/>
  <c r="I14" i="17"/>
  <c r="I15" i="17"/>
  <c r="N15" i="17" s="1"/>
  <c r="I16" i="17"/>
  <c r="N16" i="17" s="1"/>
  <c r="I17" i="17"/>
  <c r="N17" i="17" s="1"/>
  <c r="I18" i="17"/>
  <c r="N18" i="17" s="1"/>
  <c r="I19" i="17"/>
  <c r="N19" i="17" s="1"/>
  <c r="I20" i="17"/>
  <c r="N20" i="17" s="1"/>
  <c r="I21" i="17"/>
  <c r="I22" i="17"/>
  <c r="I23" i="17"/>
  <c r="N23" i="17" s="1"/>
  <c r="I24" i="17"/>
  <c r="N24" i="17" s="1"/>
  <c r="I25" i="17"/>
  <c r="N25" i="17" s="1"/>
  <c r="I26" i="17"/>
  <c r="N26" i="17" s="1"/>
  <c r="I27" i="17"/>
  <c r="N27" i="17" s="1"/>
  <c r="I28" i="17"/>
  <c r="I29" i="17"/>
  <c r="I30" i="17"/>
  <c r="N30" i="17" s="1"/>
  <c r="I31" i="17"/>
  <c r="N31" i="17" s="1"/>
  <c r="I32" i="17"/>
  <c r="N32" i="17" s="1"/>
  <c r="I33" i="17"/>
  <c r="N33" i="17" s="1"/>
  <c r="I34" i="17"/>
  <c r="N34" i="17" s="1"/>
  <c r="I35" i="17"/>
  <c r="N35" i="17" s="1"/>
  <c r="I36" i="17"/>
  <c r="N36" i="17" s="1"/>
  <c r="I37" i="17"/>
  <c r="N37" i="17" s="1"/>
  <c r="I38" i="17"/>
  <c r="N38" i="17" s="1"/>
  <c r="I39" i="17"/>
  <c r="N39" i="17" s="1"/>
  <c r="I40" i="17"/>
  <c r="I41" i="17"/>
  <c r="I42" i="17"/>
  <c r="I43" i="17"/>
  <c r="I44" i="17"/>
  <c r="I45" i="17"/>
  <c r="I46" i="17"/>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I63" i="17"/>
  <c r="N63" i="17" s="1"/>
  <c r="I64" i="17"/>
  <c r="N64" i="17" s="1"/>
  <c r="I65" i="17"/>
  <c r="N65" i="17" s="1"/>
  <c r="I66" i="17"/>
  <c r="N66" i="17" s="1"/>
  <c r="I67" i="17"/>
  <c r="N67" i="17" s="1"/>
  <c r="I68" i="17"/>
  <c r="N68" i="17" s="1"/>
  <c r="I69" i="17"/>
  <c r="I70" i="17"/>
  <c r="I71" i="17"/>
  <c r="I72" i="17"/>
  <c r="I73" i="17"/>
  <c r="I74" i="17"/>
  <c r="I75" i="17"/>
  <c r="N75" i="17" s="1"/>
  <c r="I76" i="17"/>
  <c r="N76" i="17" s="1"/>
  <c r="I77" i="17"/>
  <c r="N77" i="17" s="1"/>
  <c r="I78" i="17"/>
  <c r="I79" i="17"/>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I93" i="17"/>
  <c r="I94" i="17"/>
  <c r="N94" i="17" s="1"/>
  <c r="I95" i="17"/>
  <c r="N95" i="17" s="1"/>
  <c r="I96" i="17"/>
  <c r="N96" i="17" s="1"/>
  <c r="I97" i="17"/>
  <c r="N97" i="17" s="1"/>
  <c r="I98" i="17"/>
  <c r="N98" i="17" s="1"/>
  <c r="I99" i="17"/>
  <c r="N99" i="17" s="1"/>
  <c r="I100" i="17"/>
  <c r="N100" i="17" s="1"/>
  <c r="I101" i="17"/>
  <c r="I102" i="17"/>
  <c r="I103" i="17"/>
  <c r="I104" i="17"/>
  <c r="I105" i="17"/>
  <c r="N105" i="17" s="1"/>
  <c r="I106" i="17"/>
  <c r="N106" i="17" s="1"/>
  <c r="I107" i="17"/>
  <c r="N107" i="17" s="1"/>
  <c r="I108" i="17"/>
  <c r="N108" i="17" s="1"/>
  <c r="I109" i="17"/>
  <c r="I110" i="17"/>
  <c r="I111" i="17"/>
  <c r="N111" i="17" s="1"/>
  <c r="I112" i="17"/>
  <c r="N112" i="17" s="1"/>
  <c r="I113" i="17"/>
  <c r="N113" i="17" s="1"/>
  <c r="I114" i="17"/>
  <c r="N114" i="17" s="1"/>
  <c r="I115" i="17"/>
  <c r="N115" i="17" s="1"/>
  <c r="I116" i="17"/>
  <c r="N116" i="17" s="1"/>
  <c r="I117" i="17"/>
  <c r="N117" i="17" s="1"/>
  <c r="I118" i="17"/>
  <c r="N118" i="17" s="1"/>
  <c r="I119" i="17"/>
  <c r="I120" i="17"/>
  <c r="N120" i="17" s="1"/>
  <c r="I121" i="17"/>
  <c r="N121" i="17" s="1"/>
  <c r="I122" i="17"/>
  <c r="N122" i="17" s="1"/>
  <c r="I123" i="17"/>
  <c r="N123" i="17" s="1"/>
  <c r="I124" i="17"/>
  <c r="I125" i="17"/>
  <c r="I126" i="17"/>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I141" i="17"/>
  <c r="I142" i="17"/>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I166" i="17"/>
  <c r="I167" i="17"/>
  <c r="I168" i="17"/>
  <c r="I169" i="17"/>
  <c r="I170" i="17"/>
  <c r="N170" i="17" s="1"/>
  <c r="I171" i="17"/>
  <c r="N171" i="17" s="1"/>
  <c r="I172" i="17"/>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I189" i="17"/>
  <c r="I190" i="17"/>
  <c r="I191" i="17"/>
  <c r="N191" i="17" s="1"/>
  <c r="I192" i="17"/>
  <c r="N192" i="17" s="1"/>
  <c r="I193" i="17"/>
  <c r="N193" i="17" s="1"/>
  <c r="I194" i="17"/>
  <c r="N194" i="17" s="1"/>
  <c r="I195" i="17"/>
  <c r="N195" i="17" s="1"/>
  <c r="I196" i="17"/>
  <c r="N196" i="17" s="1"/>
  <c r="I197" i="17"/>
  <c r="N197" i="17" s="1"/>
  <c r="I198" i="17"/>
  <c r="I199" i="17"/>
  <c r="I200" i="17"/>
  <c r="I201" i="17"/>
  <c r="I202" i="17"/>
  <c r="N202" i="17" s="1"/>
  <c r="I203" i="17"/>
  <c r="N203" i="17" s="1"/>
  <c r="I204" i="17"/>
  <c r="N204" i="17" s="1"/>
  <c r="I205" i="17"/>
  <c r="N205" i="17" s="1"/>
  <c r="I206" i="17"/>
  <c r="I207" i="17"/>
  <c r="I208" i="17"/>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I221" i="17"/>
  <c r="I222" i="17"/>
  <c r="I223" i="17"/>
  <c r="N223" i="17" s="1"/>
  <c r="I224" i="17"/>
  <c r="N224" i="17" s="1"/>
  <c r="I225" i="17"/>
  <c r="N225" i="17" s="1"/>
  <c r="I226" i="17"/>
  <c r="N226" i="17" s="1"/>
  <c r="I227" i="17"/>
  <c r="N227" i="17" s="1"/>
  <c r="I228" i="17"/>
  <c r="N228" i="17" s="1"/>
  <c r="I229" i="17"/>
  <c r="N229" i="17" s="1"/>
  <c r="I230" i="17"/>
  <c r="N230" i="17" s="1"/>
  <c r="I231" i="17"/>
  <c r="I232" i="17"/>
  <c r="I233" i="17"/>
  <c r="N233" i="17" s="1"/>
  <c r="I234" i="17"/>
  <c r="N234" i="17" s="1"/>
  <c r="I235" i="17"/>
  <c r="N235" i="17" s="1"/>
  <c r="I236" i="17"/>
  <c r="I237" i="17"/>
  <c r="I238" i="17"/>
  <c r="I239" i="17"/>
  <c r="N239" i="17" s="1"/>
  <c r="I240" i="17"/>
  <c r="N240" i="17" s="1"/>
  <c r="I241" i="17"/>
  <c r="N241" i="17" s="1"/>
  <c r="I242" i="17"/>
  <c r="N242" i="17" s="1"/>
  <c r="I243" i="17"/>
  <c r="N243" i="17" s="1"/>
  <c r="I244" i="17"/>
  <c r="N244" i="17" s="1"/>
  <c r="I245" i="17"/>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I269" i="17"/>
  <c r="I270" i="17"/>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I282" i="17"/>
  <c r="N282" i="17" s="1"/>
  <c r="I283" i="17"/>
  <c r="N283" i="17" s="1"/>
  <c r="I284" i="17"/>
  <c r="N284" i="17" s="1"/>
  <c r="I285" i="17"/>
  <c r="I286" i="17"/>
  <c r="I287" i="17"/>
  <c r="I288" i="17"/>
  <c r="I289" i="17"/>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I310" i="17"/>
  <c r="I311" i="17"/>
  <c r="N311" i="17" s="1"/>
  <c r="I312" i="17"/>
  <c r="N312" i="17" s="1"/>
  <c r="I313" i="17"/>
  <c r="N313" i="17" s="1"/>
  <c r="I314" i="17"/>
  <c r="N314" i="17" s="1"/>
  <c r="I315" i="17"/>
  <c r="N315" i="17" s="1"/>
  <c r="I316" i="17"/>
  <c r="N316" i="17" s="1"/>
  <c r="I317" i="17"/>
  <c r="I318" i="17"/>
  <c r="I319" i="17"/>
  <c r="N319" i="17" s="1"/>
  <c r="I320" i="17"/>
  <c r="N320" i="17" s="1"/>
  <c r="I321" i="17"/>
  <c r="N321" i="17" s="1"/>
  <c r="I322" i="17"/>
  <c r="N322" i="17" s="1"/>
  <c r="I323" i="17"/>
  <c r="N323" i="17" s="1"/>
  <c r="I324" i="17"/>
  <c r="N324" i="17" s="1"/>
  <c r="I325" i="17"/>
  <c r="N325" i="17" s="1"/>
  <c r="I326" i="17"/>
  <c r="N326" i="17" s="1"/>
  <c r="I327" i="17"/>
  <c r="N327" i="17" s="1"/>
  <c r="I328" i="17"/>
  <c r="I329" i="17"/>
  <c r="I330" i="17"/>
  <c r="I331" i="17"/>
  <c r="N331" i="17" s="1"/>
  <c r="I332" i="17"/>
  <c r="N332" i="17" s="1"/>
  <c r="I333" i="17"/>
  <c r="N333" i="17" s="1"/>
  <c r="I334" i="17"/>
  <c r="I335" i="17"/>
  <c r="N335" i="17" s="1"/>
  <c r="I336" i="17"/>
  <c r="N336" i="17" s="1"/>
  <c r="I337" i="17"/>
  <c r="N337" i="17" s="1"/>
  <c r="I338" i="17"/>
  <c r="N338" i="17" s="1"/>
  <c r="I339" i="17"/>
  <c r="N339" i="17" s="1"/>
  <c r="I340" i="17"/>
  <c r="N340" i="17" s="1"/>
  <c r="I341" i="17"/>
  <c r="I342" i="17"/>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I358" i="17"/>
  <c r="I359" i="17"/>
  <c r="I360" i="17"/>
  <c r="I361" i="17"/>
  <c r="I362" i="17"/>
  <c r="I363" i="17"/>
  <c r="I364" i="17"/>
  <c r="I365" i="17"/>
  <c r="I366" i="17"/>
  <c r="I367" i="17"/>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I381" i="17"/>
  <c r="I382" i="17"/>
  <c r="I383" i="17"/>
  <c r="N383" i="17" s="1"/>
  <c r="I384" i="17"/>
  <c r="N384" i="17" s="1"/>
  <c r="I385" i="17"/>
  <c r="N385" i="17" s="1"/>
  <c r="I386" i="17"/>
  <c r="N386" i="17" s="1"/>
  <c r="I387" i="17"/>
  <c r="N387" i="17" s="1"/>
  <c r="I388" i="17"/>
  <c r="I389" i="17"/>
  <c r="I390" i="17"/>
  <c r="N390" i="17" s="1"/>
  <c r="I391" i="17"/>
  <c r="N391" i="17" s="1"/>
  <c r="I392" i="17"/>
  <c r="N392" i="17" s="1"/>
  <c r="I393" i="17"/>
  <c r="N393" i="17" s="1"/>
  <c r="I394" i="17"/>
  <c r="I395" i="17"/>
  <c r="I396" i="17"/>
  <c r="I397" i="17"/>
  <c r="I398" i="17"/>
  <c r="I399" i="17"/>
  <c r="N399" i="17" s="1"/>
  <c r="I400" i="17"/>
  <c r="N400" i="17" s="1"/>
  <c r="I401" i="17"/>
  <c r="N401" i="17" s="1"/>
  <c r="I402" i="17"/>
  <c r="N402" i="17" s="1"/>
  <c r="I403" i="17"/>
  <c r="N403" i="17" s="1"/>
  <c r="I404" i="17"/>
  <c r="N404" i="17" s="1"/>
  <c r="I405" i="17"/>
  <c r="N405" i="17" s="1"/>
  <c r="I406" i="17"/>
  <c r="I407" i="17"/>
  <c r="I408" i="17"/>
  <c r="I409" i="17"/>
  <c r="N409" i="17" s="1"/>
  <c r="I410" i="17"/>
  <c r="N410" i="17" s="1"/>
  <c r="I411" i="17"/>
  <c r="N411" i="17" s="1"/>
  <c r="I412" i="17"/>
  <c r="N412" i="17" s="1"/>
  <c r="I413" i="17"/>
  <c r="I414" i="17"/>
  <c r="I415" i="17"/>
  <c r="N415" i="17" s="1"/>
  <c r="I416" i="17"/>
  <c r="N416" i="17" s="1"/>
  <c r="I417" i="17"/>
  <c r="N417" i="17" s="1"/>
  <c r="I418" i="17"/>
  <c r="N418" i="17" s="1"/>
  <c r="I419" i="17"/>
  <c r="N419" i="17" s="1"/>
  <c r="I420" i="17"/>
  <c r="I421" i="17"/>
  <c r="I422" i="17"/>
  <c r="I423" i="17"/>
  <c r="I424" i="17"/>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I437" i="17"/>
  <c r="I438" i="17"/>
  <c r="I439" i="17"/>
  <c r="I440" i="17"/>
  <c r="I441" i="17"/>
  <c r="I442" i="17"/>
  <c r="I443" i="17"/>
  <c r="N443" i="17" s="1"/>
  <c r="I444" i="17"/>
  <c r="I445" i="17"/>
  <c r="I446" i="17"/>
  <c r="I447" i="17"/>
  <c r="N447" i="17" s="1"/>
  <c r="I448" i="17"/>
  <c r="N448" i="17" s="1"/>
  <c r="I449" i="17"/>
  <c r="N449" i="17" s="1"/>
  <c r="I450" i="17"/>
  <c r="N450" i="17" s="1"/>
  <c r="I451" i="17"/>
  <c r="N451" i="17" s="1"/>
  <c r="I452" i="17"/>
  <c r="N452" i="17" s="1"/>
  <c r="I453" i="17"/>
  <c r="N453" i="17" s="1"/>
  <c r="I454" i="17"/>
  <c r="I455" i="17"/>
  <c r="N455" i="17" s="1"/>
  <c r="I456" i="17"/>
  <c r="N456" i="17" s="1"/>
  <c r="I457" i="17"/>
  <c r="N457" i="17" s="1"/>
  <c r="I458" i="17"/>
  <c r="N458" i="17" s="1"/>
  <c r="I459" i="17"/>
  <c r="N459" i="17" s="1"/>
  <c r="I460" i="17"/>
  <c r="I461" i="17"/>
  <c r="I462" i="17"/>
  <c r="I463" i="17"/>
  <c r="N463" i="17" s="1"/>
  <c r="I464" i="17"/>
  <c r="N464" i="17" s="1"/>
  <c r="I465" i="17"/>
  <c r="N465" i="17" s="1"/>
  <c r="I466" i="17"/>
  <c r="N466" i="17" s="1"/>
  <c r="I467" i="17"/>
  <c r="N467" i="17" s="1"/>
  <c r="I468" i="17"/>
  <c r="I469" i="17"/>
  <c r="N469" i="17" s="1"/>
  <c r="I470" i="17"/>
  <c r="N470" i="17" s="1"/>
  <c r="I471" i="17"/>
  <c r="N471" i="17" s="1"/>
  <c r="I472" i="17"/>
  <c r="N472" i="17" s="1"/>
  <c r="I473" i="17"/>
  <c r="I474" i="17"/>
  <c r="I475" i="17"/>
  <c r="I476" i="17"/>
  <c r="I477" i="17"/>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I493" i="17"/>
  <c r="I494" i="17"/>
  <c r="I495" i="17"/>
  <c r="N495" i="17" s="1"/>
  <c r="I496" i="17"/>
  <c r="N496" i="17" s="1"/>
  <c r="I497" i="17"/>
  <c r="N497" i="17" s="1"/>
  <c r="I498" i="17"/>
  <c r="N498" i="17" s="1"/>
  <c r="I499" i="17"/>
  <c r="N499" i="17" s="1"/>
  <c r="I500" i="17"/>
  <c r="I501" i="17"/>
  <c r="I502" i="17"/>
  <c r="I503" i="17"/>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I517" i="17"/>
  <c r="I518" i="17"/>
  <c r="N518" i="17" s="1"/>
  <c r="I519" i="17"/>
  <c r="N519" i="17" s="1"/>
  <c r="I520" i="17"/>
  <c r="N520" i="17" s="1"/>
  <c r="I521" i="17"/>
  <c r="N521" i="17" s="1"/>
  <c r="I522" i="17"/>
  <c r="N522" i="17" s="1"/>
  <c r="I523" i="17"/>
  <c r="N523" i="17" s="1"/>
  <c r="I524" i="17"/>
  <c r="I525" i="17"/>
  <c r="I526" i="17"/>
  <c r="N526" i="17" s="1"/>
  <c r="I527" i="17"/>
  <c r="N527" i="17" s="1"/>
  <c r="I528" i="17"/>
  <c r="N528" i="17" s="1"/>
  <c r="I529" i="17"/>
  <c r="N529" i="17" s="1"/>
  <c r="I530" i="17"/>
  <c r="N530" i="17" s="1"/>
  <c r="I531" i="17"/>
  <c r="N531" i="17" s="1"/>
  <c r="I532" i="17"/>
  <c r="N532" i="17" s="1"/>
  <c r="I533" i="17"/>
  <c r="I534" i="17"/>
  <c r="N534" i="17" s="1"/>
  <c r="I535" i="17"/>
  <c r="N535" i="17" s="1"/>
  <c r="I536" i="17"/>
  <c r="N536" i="17" s="1"/>
  <c r="I537" i="17"/>
  <c r="N537" i="17" s="1"/>
  <c r="I538" i="17"/>
  <c r="I539" i="17"/>
  <c r="I540" i="17"/>
  <c r="I541" i="17"/>
  <c r="I542" i="17"/>
  <c r="I543" i="17"/>
  <c r="I544" i="17"/>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I557" i="17"/>
  <c r="N557" i="17" s="1"/>
  <c r="I558" i="17"/>
  <c r="N558" i="17" s="1"/>
  <c r="I559" i="17"/>
  <c r="N559" i="17" s="1"/>
  <c r="I560" i="17"/>
  <c r="N560" i="17" s="1"/>
  <c r="I561" i="17"/>
  <c r="N561" i="17" s="1"/>
  <c r="I562" i="17"/>
  <c r="N562" i="17" s="1"/>
  <c r="I563" i="17"/>
  <c r="N563" i="17" s="1"/>
  <c r="I564" i="17"/>
  <c r="I565" i="17"/>
  <c r="I566" i="17"/>
  <c r="I567" i="17"/>
  <c r="N567" i="17" s="1"/>
  <c r="I568" i="17"/>
  <c r="N568" i="17" s="1"/>
  <c r="I569" i="17"/>
  <c r="N569" i="17" s="1"/>
  <c r="I570" i="17"/>
  <c r="N570" i="17" s="1"/>
  <c r="I571" i="17"/>
  <c r="N571" i="17" s="1"/>
  <c r="I572" i="17"/>
  <c r="I573" i="17"/>
  <c r="I574" i="17"/>
  <c r="I575" i="17"/>
  <c r="N575" i="17" s="1"/>
  <c r="I576" i="17"/>
  <c r="N576" i="17" s="1"/>
  <c r="I577" i="17"/>
  <c r="N577" i="17" s="1"/>
  <c r="I578" i="17"/>
  <c r="N578" i="17" s="1"/>
  <c r="I579" i="17"/>
  <c r="N579" i="17" s="1"/>
  <c r="I580" i="17"/>
  <c r="I581" i="17"/>
  <c r="I582" i="17"/>
  <c r="N582" i="17" s="1"/>
  <c r="I583" i="17"/>
  <c r="N583" i="17" s="1"/>
  <c r="I584" i="17"/>
  <c r="N584" i="17" s="1"/>
  <c r="I585" i="17"/>
  <c r="N585" i="17" s="1"/>
  <c r="I586" i="17"/>
  <c r="N586" i="17" s="1"/>
  <c r="I587" i="17"/>
  <c r="N587" i="17" s="1"/>
  <c r="I588" i="17"/>
  <c r="N588" i="17" s="1"/>
  <c r="I589" i="17"/>
  <c r="N589" i="17" s="1"/>
  <c r="I590" i="17"/>
  <c r="I591" i="17"/>
  <c r="N591" i="17" s="1"/>
  <c r="I592" i="17"/>
  <c r="N592" i="17" s="1"/>
  <c r="I593" i="17"/>
  <c r="N593" i="17" s="1"/>
  <c r="I594" i="17"/>
  <c r="N594" i="17" s="1"/>
  <c r="I595" i="17"/>
  <c r="N595" i="17" s="1"/>
  <c r="I596" i="17"/>
  <c r="I597" i="17"/>
  <c r="I598" i="17"/>
  <c r="I599" i="17"/>
  <c r="I600" i="17"/>
  <c r="I601" i="17"/>
  <c r="I602" i="17"/>
  <c r="I603" i="17"/>
  <c r="I604" i="17"/>
  <c r="I605" i="17"/>
  <c r="N605" i="17" s="1"/>
  <c r="I606" i="17"/>
  <c r="N606" i="17" s="1"/>
  <c r="I607" i="17"/>
  <c r="N607" i="17" s="1"/>
  <c r="I608" i="17"/>
  <c r="N608" i="17" s="1"/>
  <c r="I609" i="17"/>
  <c r="N609" i="17" s="1"/>
  <c r="I610" i="17"/>
  <c r="N610" i="17" s="1"/>
  <c r="I611" i="17"/>
  <c r="N611" i="17" s="1"/>
  <c r="I612" i="17"/>
  <c r="I613" i="17"/>
  <c r="N613" i="17" s="1"/>
  <c r="I614" i="17"/>
  <c r="N614" i="17" s="1"/>
  <c r="I615" i="17"/>
  <c r="N615" i="17" s="1"/>
  <c r="I616" i="17"/>
  <c r="N616" i="17" s="1"/>
  <c r="I617" i="17"/>
  <c r="I618" i="17"/>
  <c r="I619" i="17"/>
  <c r="N619" i="17" s="1"/>
  <c r="I620" i="17"/>
  <c r="I621" i="17"/>
  <c r="I622" i="17"/>
  <c r="I623" i="17"/>
  <c r="N623" i="17" s="1"/>
  <c r="I624" i="17"/>
  <c r="N624" i="17" s="1"/>
  <c r="I625" i="17"/>
  <c r="N625" i="17" s="1"/>
  <c r="I626" i="17"/>
  <c r="N626" i="17" s="1"/>
  <c r="I627" i="17"/>
  <c r="N627" i="17" s="1"/>
  <c r="I628" i="17"/>
  <c r="N628" i="17" s="1"/>
  <c r="I629" i="17"/>
  <c r="N629" i="17" s="1"/>
  <c r="I630" i="17"/>
  <c r="N630" i="17" s="1"/>
  <c r="I631" i="17"/>
  <c r="I632" i="17"/>
  <c r="I633" i="17"/>
  <c r="I634" i="17"/>
  <c r="I635" i="17"/>
  <c r="I636" i="17"/>
  <c r="N636" i="17" s="1"/>
  <c r="I637" i="17"/>
  <c r="N637" i="17" s="1"/>
  <c r="I638" i="17"/>
  <c r="N638" i="17" s="1"/>
  <c r="I639" i="17"/>
  <c r="N639" i="17" s="1"/>
  <c r="I640" i="17"/>
  <c r="N640" i="17" s="1"/>
  <c r="I641" i="17"/>
  <c r="N641" i="17" s="1"/>
  <c r="I642" i="17"/>
  <c r="N642" i="17" s="1"/>
  <c r="I643" i="17"/>
  <c r="N643" i="17" s="1"/>
  <c r="I644" i="17"/>
  <c r="I645" i="17"/>
  <c r="I646" i="17"/>
  <c r="N646" i="17" s="1"/>
  <c r="I647" i="17"/>
  <c r="N647" i="17" s="1"/>
  <c r="I648" i="17"/>
  <c r="N648" i="17" s="1"/>
  <c r="I649" i="17"/>
  <c r="N649" i="17" s="1"/>
  <c r="I650" i="17"/>
  <c r="I651" i="17"/>
  <c r="I652" i="17"/>
  <c r="I653" i="17"/>
  <c r="I654" i="17"/>
  <c r="I655" i="17"/>
  <c r="N655" i="17" s="1"/>
  <c r="I656" i="17"/>
  <c r="N656" i="17" s="1"/>
  <c r="I657" i="17"/>
  <c r="N657" i="17" s="1"/>
  <c r="I658" i="17"/>
  <c r="N658" i="17" s="1"/>
  <c r="I659" i="17"/>
  <c r="N659" i="17" s="1"/>
  <c r="I660" i="17"/>
  <c r="I661" i="17"/>
  <c r="I662" i="17"/>
  <c r="N662" i="17" s="1"/>
  <c r="I663" i="17"/>
  <c r="N663" i="17" s="1"/>
  <c r="I664" i="17"/>
  <c r="N664" i="17" s="1"/>
  <c r="I665" i="17"/>
  <c r="N665" i="17" s="1"/>
  <c r="I666" i="17"/>
  <c r="N666" i="17" s="1"/>
  <c r="I667" i="17"/>
  <c r="N667" i="17" s="1"/>
  <c r="I668" i="17"/>
  <c r="N668" i="17" s="1"/>
  <c r="I669" i="17"/>
  <c r="I670" i="17"/>
  <c r="I671" i="17"/>
  <c r="N671" i="17" s="1"/>
  <c r="I672" i="17"/>
  <c r="N672" i="17" s="1"/>
  <c r="I673" i="17"/>
  <c r="N673" i="17" s="1"/>
  <c r="I674" i="17"/>
  <c r="N674" i="17" s="1"/>
  <c r="I675" i="17"/>
  <c r="N675" i="17" s="1"/>
  <c r="I676" i="17"/>
  <c r="I677" i="17"/>
  <c r="I678" i="17"/>
  <c r="I679" i="17"/>
  <c r="I680" i="17"/>
  <c r="I681" i="17"/>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I701" i="17"/>
  <c r="I702" i="17"/>
  <c r="I703" i="17"/>
  <c r="N703" i="17" s="1"/>
  <c r="I704" i="17"/>
  <c r="N704" i="17" s="1"/>
  <c r="I705" i="17"/>
  <c r="N705" i="17" s="1"/>
  <c r="I706" i="17"/>
  <c r="N706" i="17" s="1"/>
  <c r="I707" i="17"/>
  <c r="N707" i="17" s="1"/>
  <c r="I708" i="17"/>
  <c r="N708" i="17" s="1"/>
  <c r="I709" i="17"/>
  <c r="N709" i="17" s="1"/>
  <c r="I710" i="17"/>
  <c r="I711" i="17"/>
  <c r="I712" i="17"/>
  <c r="I713" i="17"/>
  <c r="I714" i="17"/>
  <c r="I715" i="17"/>
  <c r="N715" i="17" s="1"/>
  <c r="I716" i="17"/>
  <c r="N716" i="17" s="1"/>
  <c r="I717" i="17"/>
  <c r="N717" i="17" s="1"/>
  <c r="I718" i="17"/>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I733" i="17"/>
  <c r="I734" i="17"/>
  <c r="I735" i="17"/>
  <c r="N735" i="17" s="1"/>
  <c r="I736" i="17"/>
  <c r="N736" i="17" s="1"/>
  <c r="I737" i="17"/>
  <c r="N737" i="17" s="1"/>
  <c r="I738" i="17"/>
  <c r="N738" i="17" s="1"/>
  <c r="I739" i="17"/>
  <c r="N739" i="17" s="1"/>
  <c r="I740" i="17"/>
  <c r="I741" i="17"/>
  <c r="N741" i="17" s="1"/>
  <c r="I742" i="17"/>
  <c r="N742" i="17" s="1"/>
  <c r="I743" i="17"/>
  <c r="N743" i="17" s="1"/>
  <c r="I744" i="17"/>
  <c r="N744" i="17" s="1"/>
  <c r="I745" i="17"/>
  <c r="N745" i="17" s="1"/>
  <c r="I746" i="17"/>
  <c r="N746" i="17" s="1"/>
  <c r="I747" i="17"/>
  <c r="N747" i="17" s="1"/>
  <c r="I748" i="17"/>
  <c r="I749" i="17"/>
  <c r="I750" i="17"/>
  <c r="I751" i="17"/>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I776" i="17"/>
  <c r="I777" i="17"/>
  <c r="I778" i="17"/>
  <c r="I779" i="17"/>
  <c r="I780" i="17"/>
  <c r="I781" i="17"/>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I798" i="17"/>
  <c r="I799" i="17"/>
  <c r="N799" i="17" s="1"/>
  <c r="I800" i="17"/>
  <c r="N800" i="17" s="1"/>
  <c r="I801" i="17"/>
  <c r="N801" i="17" s="1"/>
  <c r="I802" i="17"/>
  <c r="N802" i="17" s="1"/>
  <c r="I803" i="17"/>
  <c r="N803" i="17" s="1"/>
  <c r="I804" i="17"/>
  <c r="N804" i="17" s="1"/>
  <c r="I805" i="17"/>
  <c r="N805" i="17" s="1"/>
  <c r="I806" i="17"/>
  <c r="N806" i="17" s="1"/>
  <c r="I807" i="17"/>
  <c r="N807" i="17" s="1"/>
  <c r="I808" i="17"/>
  <c r="I809" i="17"/>
  <c r="I810" i="17"/>
  <c r="I811" i="17"/>
  <c r="I812" i="17"/>
  <c r="I813" i="17"/>
  <c r="I814" i="17"/>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I829" i="17"/>
  <c r="I830" i="17"/>
  <c r="I831" i="17"/>
  <c r="N831" i="17" s="1"/>
  <c r="I832" i="17"/>
  <c r="N832" i="17" s="1"/>
  <c r="I833" i="17"/>
  <c r="N833" i="17" s="1"/>
  <c r="I834" i="17"/>
  <c r="N834" i="17" s="1"/>
  <c r="I835" i="17"/>
  <c r="N835" i="17" s="1"/>
  <c r="I836" i="17"/>
  <c r="I837" i="17"/>
  <c r="I838" i="17"/>
  <c r="I839" i="17"/>
  <c r="I840" i="17"/>
  <c r="I841" i="17"/>
  <c r="I842" i="17"/>
  <c r="N842" i="17" s="1"/>
  <c r="I843" i="17"/>
  <c r="N843" i="17" s="1"/>
  <c r="I844" i="17"/>
  <c r="N844" i="17" s="1"/>
  <c r="I845" i="17"/>
  <c r="N845" i="17" s="1"/>
  <c r="I846" i="17"/>
  <c r="I847" i="17"/>
  <c r="N847" i="17" s="1"/>
  <c r="I848" i="17"/>
  <c r="N848" i="17" s="1"/>
  <c r="I849" i="17"/>
  <c r="N849" i="17" s="1"/>
  <c r="I850" i="17"/>
  <c r="N850" i="17" s="1"/>
  <c r="I851" i="17"/>
  <c r="N851" i="17" s="1"/>
  <c r="I852" i="17"/>
  <c r="N852" i="17" s="1"/>
  <c r="I853" i="17"/>
  <c r="N853" i="17" s="1"/>
  <c r="I854" i="17"/>
  <c r="I855" i="17"/>
  <c r="I856" i="17"/>
  <c r="N856" i="17" s="1"/>
  <c r="I857" i="17"/>
  <c r="N857" i="17" s="1"/>
  <c r="I858" i="17"/>
  <c r="N858" i="17" s="1"/>
  <c r="I859" i="17"/>
  <c r="N859" i="17" s="1"/>
  <c r="I860" i="17"/>
  <c r="I861" i="17"/>
  <c r="N861" i="17" s="1"/>
  <c r="I862" i="17"/>
  <c r="N862" i="17" s="1"/>
  <c r="I863" i="17"/>
  <c r="N863" i="17" s="1"/>
  <c r="I864" i="17"/>
  <c r="N864" i="17" s="1"/>
  <c r="I865" i="17"/>
  <c r="N865" i="17" s="1"/>
  <c r="I866" i="17"/>
  <c r="N866" i="17" s="1"/>
  <c r="I867" i="17"/>
  <c r="N867" i="17" s="1"/>
  <c r="I868" i="17"/>
  <c r="I869" i="17"/>
  <c r="I870" i="17"/>
  <c r="I871" i="17"/>
  <c r="I872" i="17"/>
  <c r="I873" i="17"/>
  <c r="N873" i="17" s="1"/>
  <c r="I874" i="17"/>
  <c r="N874" i="17" s="1"/>
  <c r="I875" i="17"/>
  <c r="N875" i="17" s="1"/>
  <c r="I876" i="17"/>
  <c r="I877" i="17"/>
  <c r="I878" i="17"/>
  <c r="I879" i="17"/>
  <c r="I880" i="17"/>
  <c r="N880" i="17" s="1"/>
  <c r="I881" i="17"/>
  <c r="N881" i="17" s="1"/>
  <c r="I882" i="17"/>
  <c r="N882" i="17" s="1"/>
  <c r="I883" i="17"/>
  <c r="N883" i="17" s="1"/>
  <c r="I884" i="17"/>
  <c r="N884" i="17" s="1"/>
  <c r="I885" i="17"/>
  <c r="N885" i="17" s="1"/>
  <c r="I886" i="17"/>
  <c r="N886" i="17" s="1"/>
  <c r="I887" i="17"/>
  <c r="I888" i="17"/>
  <c r="I889" i="17"/>
  <c r="N889" i="17" s="1"/>
  <c r="I890" i="17"/>
  <c r="N890" i="17" s="1"/>
  <c r="I891" i="17"/>
  <c r="N891" i="17" s="1"/>
  <c r="I892" i="17"/>
  <c r="I893" i="17"/>
  <c r="I894" i="17"/>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I909" i="17"/>
  <c r="I910" i="17"/>
  <c r="I911" i="17"/>
  <c r="N911" i="17" s="1"/>
  <c r="I912" i="17"/>
  <c r="N912" i="17" s="1"/>
  <c r="I913" i="17"/>
  <c r="N913" i="17" s="1"/>
  <c r="I914" i="17"/>
  <c r="N914" i="17" s="1"/>
  <c r="I915" i="17"/>
  <c r="N915" i="17" s="1"/>
  <c r="I916" i="17"/>
  <c r="I917" i="17"/>
  <c r="I918" i="17"/>
  <c r="I919" i="17"/>
  <c r="N919" i="17" s="1"/>
  <c r="I920" i="17"/>
  <c r="N920" i="17" s="1"/>
  <c r="I921" i="17"/>
  <c r="N921" i="17" s="1"/>
  <c r="I922" i="17"/>
  <c r="N922" i="17" s="1"/>
  <c r="I923" i="17"/>
  <c r="N923" i="17" s="1"/>
  <c r="I924" i="17"/>
  <c r="N924" i="17" s="1"/>
  <c r="I925" i="17"/>
  <c r="I926" i="17"/>
  <c r="N926" i="17" s="1"/>
  <c r="I927" i="17"/>
  <c r="N927" i="17" s="1"/>
  <c r="I928" i="17"/>
  <c r="N928" i="17" s="1"/>
  <c r="I929" i="17"/>
  <c r="N929" i="17" s="1"/>
  <c r="I930" i="17"/>
  <c r="N930" i="17" s="1"/>
  <c r="I931" i="17"/>
  <c r="N931" i="17" s="1"/>
  <c r="I932" i="17"/>
  <c r="N932" i="17" s="1"/>
  <c r="I933" i="17"/>
  <c r="I934" i="17"/>
  <c r="I935" i="17"/>
  <c r="I936" i="17"/>
  <c r="I937" i="17"/>
  <c r="I938" i="17"/>
  <c r="I939" i="17"/>
  <c r="I940" i="17"/>
  <c r="N940" i="17" s="1"/>
  <c r="I941" i="17"/>
  <c r="N941" i="17" s="1"/>
  <c r="I942" i="17"/>
  <c r="N942" i="17" s="1"/>
  <c r="I943" i="17"/>
  <c r="N943" i="17" s="1"/>
  <c r="I944" i="17"/>
  <c r="N944" i="17" s="1"/>
  <c r="I945" i="17"/>
  <c r="N945" i="17" s="1"/>
  <c r="I946" i="17"/>
  <c r="N946" i="17" s="1"/>
  <c r="I947" i="17"/>
  <c r="N947" i="17" s="1"/>
  <c r="I948" i="17"/>
  <c r="I949" i="17"/>
  <c r="I950" i="17"/>
  <c r="I951" i="17"/>
  <c r="N951" i="17" s="1"/>
  <c r="I952" i="17"/>
  <c r="N952" i="17" s="1"/>
  <c r="I953" i="17"/>
  <c r="N953" i="17" s="1"/>
  <c r="I954" i="17"/>
  <c r="N954" i="17" s="1"/>
  <c r="I955" i="17"/>
  <c r="I956" i="17"/>
  <c r="I957" i="17"/>
  <c r="I958" i="17"/>
  <c r="I959" i="17"/>
  <c r="N959" i="17" s="1"/>
  <c r="I960" i="17"/>
  <c r="N960" i="17" s="1"/>
  <c r="I961" i="17"/>
  <c r="N961" i="17" s="1"/>
  <c r="I962" i="17"/>
  <c r="N962" i="17" s="1"/>
  <c r="I963" i="17"/>
  <c r="N963" i="17" s="1"/>
  <c r="I964" i="17"/>
  <c r="N964" i="17" s="1"/>
  <c r="I965" i="17"/>
  <c r="I966" i="17"/>
  <c r="I967" i="17"/>
  <c r="I968" i="17"/>
  <c r="I969" i="17"/>
  <c r="I970" i="17"/>
  <c r="I971" i="17"/>
  <c r="I972" i="17"/>
  <c r="I973" i="17"/>
  <c r="N973" i="17" s="1"/>
  <c r="I974" i="17"/>
  <c r="N974" i="17" s="1"/>
  <c r="I975" i="17"/>
  <c r="N975" i="17" s="1"/>
  <c r="I976" i="17"/>
  <c r="N976" i="17" s="1"/>
  <c r="I977" i="17"/>
  <c r="N977" i="17" s="1"/>
  <c r="I978" i="17"/>
  <c r="N978" i="17" s="1"/>
  <c r="I979" i="17"/>
  <c r="N979" i="17" s="1"/>
  <c r="I980" i="17"/>
  <c r="I981" i="17"/>
  <c r="N981" i="17" s="1"/>
  <c r="I982" i="17"/>
  <c r="N982" i="17" s="1"/>
  <c r="I983" i="17"/>
  <c r="N983" i="17" s="1"/>
  <c r="I984" i="17"/>
  <c r="I985" i="17"/>
  <c r="I986" i="17"/>
  <c r="I987" i="17"/>
  <c r="I988" i="17"/>
  <c r="I989" i="17"/>
  <c r="I990" i="17"/>
  <c r="I991" i="17"/>
  <c r="N991" i="17" s="1"/>
  <c r="I992" i="17"/>
  <c r="N992" i="17" s="1"/>
  <c r="I993" i="17"/>
  <c r="N993" i="17" s="1"/>
  <c r="I994" i="17"/>
  <c r="N994" i="17" s="1"/>
  <c r="I995" i="17"/>
  <c r="N995" i="17" s="1"/>
  <c r="I996" i="17"/>
  <c r="I997" i="17"/>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 i="17"/>
  <c r="G11" i="17"/>
  <c r="G17" i="17"/>
  <c r="G18" i="17"/>
  <c r="G19" i="17"/>
  <c r="G20" i="17"/>
  <c r="G21" i="17"/>
  <c r="G33" i="17"/>
  <c r="G34" i="17"/>
  <c r="G35" i="17"/>
  <c r="G36" i="17"/>
  <c r="G37" i="17"/>
  <c r="G38" i="17"/>
  <c r="G39" i="17"/>
  <c r="G40" i="17"/>
  <c r="G49" i="17"/>
  <c r="G50" i="17"/>
  <c r="G51" i="17"/>
  <c r="G52" i="17"/>
  <c r="G53" i="17"/>
  <c r="G54" i="17"/>
  <c r="G55" i="17"/>
  <c r="G56" i="17"/>
  <c r="G57" i="17"/>
  <c r="G58" i="17"/>
  <c r="G59" i="17"/>
  <c r="G66" i="17"/>
  <c r="G67" i="17"/>
  <c r="G68" i="17"/>
  <c r="G69" i="17"/>
  <c r="G70" i="17"/>
  <c r="G71" i="17"/>
  <c r="G72" i="17"/>
  <c r="G73" i="17"/>
  <c r="G74" i="17"/>
  <c r="G75" i="17"/>
  <c r="G81" i="17"/>
  <c r="G82" i="17"/>
  <c r="G97" i="17"/>
  <c r="G98" i="17"/>
  <c r="G99" i="17"/>
  <c r="G100" i="17"/>
  <c r="G113" i="17"/>
  <c r="G114" i="17"/>
  <c r="G115" i="17"/>
  <c r="G116" i="17"/>
  <c r="G117" i="17"/>
  <c r="G118" i="17"/>
  <c r="G119" i="17"/>
  <c r="G129" i="17"/>
  <c r="G130" i="17"/>
  <c r="G131" i="17"/>
  <c r="G132" i="17"/>
  <c r="G133" i="17"/>
  <c r="G134" i="17"/>
  <c r="G135" i="17"/>
  <c r="G136" i="17"/>
  <c r="G137" i="17"/>
  <c r="G138" i="17"/>
  <c r="G146" i="17"/>
  <c r="G147" i="17"/>
  <c r="G148" i="17"/>
  <c r="G149" i="17"/>
  <c r="G150" i="17"/>
  <c r="G151" i="17"/>
  <c r="G152" i="17"/>
  <c r="G153" i="17"/>
  <c r="G154" i="17"/>
  <c r="G155" i="17"/>
  <c r="G162" i="17"/>
  <c r="G177" i="17"/>
  <c r="G178" i="17"/>
  <c r="G179" i="17"/>
  <c r="G193" i="17"/>
  <c r="G194" i="17"/>
  <c r="G195" i="17"/>
  <c r="G196" i="17"/>
  <c r="G197" i="17"/>
  <c r="G198" i="17"/>
  <c r="G209" i="17"/>
  <c r="G210" i="17"/>
  <c r="G211" i="17"/>
  <c r="G212" i="17"/>
  <c r="G213" i="17"/>
  <c r="G214" i="17"/>
  <c r="G215" i="17"/>
  <c r="G216" i="17"/>
  <c r="G217" i="17"/>
  <c r="G225" i="17"/>
  <c r="G226" i="17"/>
  <c r="G227" i="17"/>
  <c r="G228" i="17"/>
  <c r="G229" i="17"/>
  <c r="G230" i="17"/>
  <c r="G231" i="17"/>
  <c r="G232" i="17"/>
  <c r="G233" i="17"/>
  <c r="G234" i="17"/>
  <c r="G235" i="17"/>
  <c r="G239" i="17"/>
  <c r="G242" i="17"/>
  <c r="G243" i="17"/>
  <c r="G244" i="17"/>
  <c r="G245" i="17"/>
  <c r="G246" i="17"/>
  <c r="G247" i="17"/>
  <c r="G248" i="17"/>
  <c r="G249" i="17"/>
  <c r="G250" i="17"/>
  <c r="G251" i="17"/>
  <c r="G257" i="17"/>
  <c r="G258" i="17"/>
  <c r="G259" i="17"/>
  <c r="G273" i="17"/>
  <c r="G274" i="17"/>
  <c r="G275" i="17"/>
  <c r="G276" i="17"/>
  <c r="G277" i="17"/>
  <c r="G289" i="17"/>
  <c r="G290" i="17"/>
  <c r="G291" i="17"/>
  <c r="G292" i="17"/>
  <c r="G293" i="17"/>
  <c r="G294" i="17"/>
  <c r="G295" i="17"/>
  <c r="G296" i="17"/>
  <c r="G305" i="17"/>
  <c r="G306" i="17"/>
  <c r="G307" i="17"/>
  <c r="G308" i="17"/>
  <c r="G309" i="17"/>
  <c r="G310" i="17"/>
  <c r="G311" i="17"/>
  <c r="G312" i="17"/>
  <c r="G313" i="17"/>
  <c r="G314" i="17"/>
  <c r="G315" i="17"/>
  <c r="G322" i="17"/>
  <c r="G323" i="17"/>
  <c r="G324" i="17"/>
  <c r="G325" i="17"/>
  <c r="G326" i="17"/>
  <c r="G327" i="17"/>
  <c r="G328" i="17"/>
  <c r="G329" i="17"/>
  <c r="G330" i="17"/>
  <c r="G331" i="17"/>
  <c r="G336" i="17"/>
  <c r="G337" i="17"/>
  <c r="G338" i="17"/>
  <c r="G353" i="17"/>
  <c r="G354" i="17"/>
  <c r="G355" i="17"/>
  <c r="G356" i="17"/>
  <c r="G369" i="17"/>
  <c r="G370" i="17"/>
  <c r="G371" i="17"/>
  <c r="G372" i="17"/>
  <c r="G373" i="17"/>
  <c r="G374" i="17"/>
  <c r="G375" i="17"/>
  <c r="G385" i="17"/>
  <c r="G386" i="17"/>
  <c r="G387" i="17"/>
  <c r="G388" i="17"/>
  <c r="G389" i="17"/>
  <c r="G390" i="17"/>
  <c r="G391" i="17"/>
  <c r="G392" i="17"/>
  <c r="G393" i="17"/>
  <c r="G394" i="17"/>
  <c r="G402" i="17"/>
  <c r="G403" i="17"/>
  <c r="G404" i="17"/>
  <c r="G405" i="17"/>
  <c r="G406" i="17"/>
  <c r="G407" i="17"/>
  <c r="G408" i="17"/>
  <c r="G409" i="17"/>
  <c r="G410" i="17"/>
  <c r="G411" i="17"/>
  <c r="G418" i="17"/>
  <c r="G433" i="17"/>
  <c r="G434" i="17"/>
  <c r="G435" i="17"/>
  <c r="G449" i="17"/>
  <c r="G450" i="17"/>
  <c r="G451" i="17"/>
  <c r="G452" i="17"/>
  <c r="G453" i="17"/>
  <c r="G454" i="17"/>
  <c r="G465" i="17"/>
  <c r="G466" i="17"/>
  <c r="G467" i="17"/>
  <c r="G468" i="17"/>
  <c r="G469" i="17"/>
  <c r="G470" i="17"/>
  <c r="G471" i="17"/>
  <c r="G472" i="17"/>
  <c r="G473" i="17"/>
  <c r="G481" i="17"/>
  <c r="G482" i="17"/>
  <c r="G483" i="17"/>
  <c r="G484" i="17"/>
  <c r="G485" i="17"/>
  <c r="G486" i="17"/>
  <c r="G487" i="17"/>
  <c r="G488" i="17"/>
  <c r="G489" i="17"/>
  <c r="G490" i="17"/>
  <c r="G491" i="17"/>
  <c r="G498" i="17"/>
  <c r="G499" i="17"/>
  <c r="G500" i="17"/>
  <c r="G501" i="17"/>
  <c r="G502" i="17"/>
  <c r="G503" i="17"/>
  <c r="G504" i="17"/>
  <c r="G505" i="17"/>
  <c r="G506" i="17"/>
  <c r="G507" i="17"/>
  <c r="G513" i="17"/>
  <c r="G514" i="17"/>
  <c r="G515" i="17"/>
  <c r="G529" i="17"/>
  <c r="G530" i="17"/>
  <c r="G531" i="17"/>
  <c r="G532" i="17"/>
  <c r="G533" i="17"/>
  <c r="G545" i="17"/>
  <c r="G546" i="17"/>
  <c r="G547" i="17"/>
  <c r="G548" i="17"/>
  <c r="G549" i="17"/>
  <c r="G550" i="17"/>
  <c r="G551" i="17"/>
  <c r="G552" i="17"/>
  <c r="G561" i="17"/>
  <c r="G562" i="17"/>
  <c r="G563" i="17"/>
  <c r="G564" i="17"/>
  <c r="G565" i="17"/>
  <c r="G566" i="17"/>
  <c r="G567" i="17"/>
  <c r="G568" i="17"/>
  <c r="G569" i="17"/>
  <c r="G570" i="17"/>
  <c r="G571" i="17"/>
  <c r="G578" i="17"/>
  <c r="G579" i="17"/>
  <c r="G580" i="17"/>
  <c r="G581" i="17"/>
  <c r="G582" i="17"/>
  <c r="G583" i="17"/>
  <c r="G584" i="17"/>
  <c r="G585" i="17"/>
  <c r="G586" i="17"/>
  <c r="G587" i="17"/>
  <c r="G593" i="17"/>
  <c r="G594" i="17"/>
  <c r="G609" i="17"/>
  <c r="G610" i="17"/>
  <c r="G611" i="17"/>
  <c r="G612" i="17"/>
  <c r="G625" i="17"/>
  <c r="G626" i="17"/>
  <c r="G627" i="17"/>
  <c r="G628" i="17"/>
  <c r="G629" i="17"/>
  <c r="G630" i="17"/>
  <c r="G631" i="17"/>
  <c r="G641" i="17"/>
  <c r="G642" i="17"/>
  <c r="G643" i="17"/>
  <c r="G644" i="17"/>
  <c r="G645" i="17"/>
  <c r="G646" i="17"/>
  <c r="G647" i="17"/>
  <c r="G648" i="17"/>
  <c r="G649" i="17"/>
  <c r="G650" i="17"/>
  <c r="G658" i="17"/>
  <c r="G659" i="17"/>
  <c r="G660" i="17"/>
  <c r="G661" i="17"/>
  <c r="G662" i="17"/>
  <c r="G663" i="17"/>
  <c r="G664" i="17"/>
  <c r="G665" i="17"/>
  <c r="G666" i="17"/>
  <c r="G667" i="17"/>
  <c r="G674" i="17"/>
  <c r="G689" i="17"/>
  <c r="G690" i="17"/>
  <c r="G691" i="17"/>
  <c r="G705" i="17"/>
  <c r="G706" i="17"/>
  <c r="G707" i="17"/>
  <c r="G708" i="17"/>
  <c r="G709" i="17"/>
  <c r="G710" i="17"/>
  <c r="G721" i="17"/>
  <c r="G722" i="17"/>
  <c r="G723" i="17"/>
  <c r="G724" i="17"/>
  <c r="G725" i="17"/>
  <c r="G726" i="17"/>
  <c r="G727" i="17"/>
  <c r="G728" i="17"/>
  <c r="G729" i="17"/>
  <c r="G737" i="17"/>
  <c r="G738" i="17"/>
  <c r="G739" i="17"/>
  <c r="G740" i="17"/>
  <c r="G741" i="17"/>
  <c r="G742" i="17"/>
  <c r="G743" i="17"/>
  <c r="G744" i="17"/>
  <c r="G745" i="17"/>
  <c r="G746" i="17"/>
  <c r="G747" i="17"/>
  <c r="G754" i="17"/>
  <c r="G755" i="17"/>
  <c r="G756" i="17"/>
  <c r="G757" i="17"/>
  <c r="G758" i="17"/>
  <c r="G759" i="17"/>
  <c r="G760" i="17"/>
  <c r="G761" i="17"/>
  <c r="G762" i="17"/>
  <c r="G763" i="17"/>
  <c r="G769" i="17"/>
  <c r="G770" i="17"/>
  <c r="G771" i="17"/>
  <c r="G785" i="17"/>
  <c r="G786" i="17"/>
  <c r="G787" i="17"/>
  <c r="G788" i="17"/>
  <c r="G789" i="17"/>
  <c r="G801" i="17"/>
  <c r="G802" i="17"/>
  <c r="G803" i="17"/>
  <c r="G804" i="17"/>
  <c r="G805" i="17"/>
  <c r="G806" i="17"/>
  <c r="G807" i="17"/>
  <c r="G808" i="17"/>
  <c r="G817" i="17"/>
  <c r="G818" i="17"/>
  <c r="G819" i="17"/>
  <c r="G820" i="17"/>
  <c r="G821" i="17"/>
  <c r="G822" i="17"/>
  <c r="G823" i="17"/>
  <c r="G824" i="17"/>
  <c r="G825" i="17"/>
  <c r="G826" i="17"/>
  <c r="G827" i="17"/>
  <c r="G834" i="17"/>
  <c r="G835" i="17"/>
  <c r="G836" i="17"/>
  <c r="G837" i="17"/>
  <c r="G838" i="17"/>
  <c r="G839" i="17"/>
  <c r="G840" i="17"/>
  <c r="G841" i="17"/>
  <c r="G842" i="17"/>
  <c r="G843" i="17"/>
  <c r="G849" i="17"/>
  <c r="G850" i="17"/>
  <c r="G865" i="17"/>
  <c r="G866" i="17"/>
  <c r="G867" i="17"/>
  <c r="G868" i="17"/>
  <c r="G881" i="17"/>
  <c r="G882" i="17"/>
  <c r="G883" i="17"/>
  <c r="G884" i="17"/>
  <c r="G885" i="17"/>
  <c r="G886" i="17"/>
  <c r="G887" i="17"/>
  <c r="G897" i="17"/>
  <c r="G898" i="17"/>
  <c r="G899" i="17"/>
  <c r="G900" i="17"/>
  <c r="G901" i="17"/>
  <c r="G902" i="17"/>
  <c r="G903" i="17"/>
  <c r="G904" i="17"/>
  <c r="G905" i="17"/>
  <c r="G906" i="17"/>
  <c r="G914" i="17"/>
  <c r="G915" i="17"/>
  <c r="G916" i="17"/>
  <c r="G917" i="17"/>
  <c r="G918" i="17"/>
  <c r="G919" i="17"/>
  <c r="G920" i="17"/>
  <c r="G921" i="17"/>
  <c r="G922" i="17"/>
  <c r="G923" i="17"/>
  <c r="G930" i="17"/>
  <c r="G945" i="17"/>
  <c r="G946" i="17"/>
  <c r="G947" i="17"/>
  <c r="G948" i="17"/>
  <c r="G961" i="17"/>
  <c r="G962" i="17"/>
  <c r="G963" i="17"/>
  <c r="G964" i="17"/>
  <c r="G965" i="17"/>
  <c r="G966" i="17"/>
  <c r="G977" i="17"/>
  <c r="G978" i="17"/>
  <c r="G979" i="17"/>
  <c r="G980" i="17"/>
  <c r="G981" i="17"/>
  <c r="G982" i="17"/>
  <c r="G983" i="17"/>
  <c r="G984" i="17"/>
  <c r="G985" i="17"/>
  <c r="G993" i="17"/>
  <c r="G994" i="17"/>
  <c r="G995" i="17"/>
  <c r="G996" i="17"/>
  <c r="G997" i="17"/>
  <c r="G998" i="17"/>
  <c r="G999" i="17"/>
  <c r="G1000" i="17"/>
  <c r="G1001" i="17"/>
  <c r="G2" i="17"/>
  <c r="F15" i="17"/>
  <c r="G15" i="17" s="1"/>
  <c r="F16" i="17"/>
  <c r="G16" i="17" s="1"/>
  <c r="F17" i="17"/>
  <c r="F18" i="17"/>
  <c r="F19" i="17"/>
  <c r="F20" i="17"/>
  <c r="F21" i="17"/>
  <c r="F22" i="17"/>
  <c r="G22" i="17" s="1"/>
  <c r="F23" i="17"/>
  <c r="G23" i="17" s="1"/>
  <c r="F24" i="17"/>
  <c r="G24" i="17" s="1"/>
  <c r="F25" i="17"/>
  <c r="G25" i="17" s="1"/>
  <c r="F26" i="17"/>
  <c r="G26" i="17" s="1"/>
  <c r="F27" i="17"/>
  <c r="G27" i="17" s="1"/>
  <c r="F28" i="17"/>
  <c r="G28" i="17" s="1"/>
  <c r="F29" i="17"/>
  <c r="G29" i="17" s="1"/>
  <c r="F30" i="17"/>
  <c r="G30" i="17" s="1"/>
  <c r="F31" i="17"/>
  <c r="G31" i="17" s="1"/>
  <c r="F32" i="17"/>
  <c r="G32" i="17" s="1"/>
  <c r="F33" i="17"/>
  <c r="F34" i="17"/>
  <c r="F35" i="17"/>
  <c r="F36" i="17"/>
  <c r="F37" i="17"/>
  <c r="F38" i="17"/>
  <c r="F39" i="17"/>
  <c r="F40" i="17"/>
  <c r="F41" i="17"/>
  <c r="G41" i="17" s="1"/>
  <c r="F42" i="17"/>
  <c r="G42" i="17" s="1"/>
  <c r="F43" i="17"/>
  <c r="G43" i="17" s="1"/>
  <c r="F44" i="17"/>
  <c r="G44" i="17" s="1"/>
  <c r="F45" i="17"/>
  <c r="G45" i="17" s="1"/>
  <c r="F46" i="17"/>
  <c r="G46" i="17" s="1"/>
  <c r="F47" i="17"/>
  <c r="G47" i="17" s="1"/>
  <c r="F48" i="17"/>
  <c r="G48" i="17" s="1"/>
  <c r="F49" i="17"/>
  <c r="F50" i="17"/>
  <c r="F51" i="17"/>
  <c r="F52" i="17"/>
  <c r="F53" i="17"/>
  <c r="F54" i="17"/>
  <c r="F55" i="17"/>
  <c r="F56" i="17"/>
  <c r="F57" i="17"/>
  <c r="F58" i="17"/>
  <c r="F59" i="17"/>
  <c r="F60" i="17"/>
  <c r="G60" i="17" s="1"/>
  <c r="F61" i="17"/>
  <c r="G61" i="17" s="1"/>
  <c r="F62" i="17"/>
  <c r="G62" i="17" s="1"/>
  <c r="F63" i="17"/>
  <c r="G63" i="17" s="1"/>
  <c r="F64" i="17"/>
  <c r="G64" i="17" s="1"/>
  <c r="F65" i="17"/>
  <c r="G65" i="17" s="1"/>
  <c r="F66" i="17"/>
  <c r="F67" i="17"/>
  <c r="F68" i="17"/>
  <c r="F69" i="17"/>
  <c r="F70" i="17"/>
  <c r="F71" i="17"/>
  <c r="F72" i="17"/>
  <c r="F73" i="17"/>
  <c r="F74" i="17"/>
  <c r="F75" i="17"/>
  <c r="F76" i="17"/>
  <c r="G76" i="17" s="1"/>
  <c r="F77" i="17"/>
  <c r="G77" i="17" s="1"/>
  <c r="F78" i="17"/>
  <c r="G78" i="17" s="1"/>
  <c r="F79" i="17"/>
  <c r="G79" i="17" s="1"/>
  <c r="F80" i="17"/>
  <c r="G80" i="17" s="1"/>
  <c r="F81" i="17"/>
  <c r="F82" i="17"/>
  <c r="F83" i="17"/>
  <c r="G83" i="17" s="1"/>
  <c r="F84" i="17"/>
  <c r="G84" i="17" s="1"/>
  <c r="F85" i="17"/>
  <c r="G85" i="17" s="1"/>
  <c r="F86" i="17"/>
  <c r="G86" i="17" s="1"/>
  <c r="F87" i="17"/>
  <c r="G87" i="17" s="1"/>
  <c r="F88" i="17"/>
  <c r="G88" i="17" s="1"/>
  <c r="F89" i="17"/>
  <c r="G89" i="17" s="1"/>
  <c r="F90" i="17"/>
  <c r="G90" i="17" s="1"/>
  <c r="F91" i="17"/>
  <c r="G91" i="17" s="1"/>
  <c r="F92" i="17"/>
  <c r="G92" i="17" s="1"/>
  <c r="F93" i="17"/>
  <c r="G93" i="17" s="1"/>
  <c r="F94" i="17"/>
  <c r="G94" i="17" s="1"/>
  <c r="F95" i="17"/>
  <c r="G95" i="17" s="1"/>
  <c r="F96" i="17"/>
  <c r="G96" i="17" s="1"/>
  <c r="F97" i="17"/>
  <c r="F98" i="17"/>
  <c r="F99" i="17"/>
  <c r="F100" i="17"/>
  <c r="F101" i="17"/>
  <c r="G101" i="17" s="1"/>
  <c r="F102" i="17"/>
  <c r="G102" i="17" s="1"/>
  <c r="F103" i="17"/>
  <c r="G103" i="17" s="1"/>
  <c r="F104" i="17"/>
  <c r="G104" i="17" s="1"/>
  <c r="F105" i="17"/>
  <c r="G105" i="17" s="1"/>
  <c r="F106" i="17"/>
  <c r="G106" i="17" s="1"/>
  <c r="F107" i="17"/>
  <c r="G107" i="17" s="1"/>
  <c r="F108" i="17"/>
  <c r="G108" i="17" s="1"/>
  <c r="F109" i="17"/>
  <c r="G109" i="17" s="1"/>
  <c r="F110" i="17"/>
  <c r="G110" i="17" s="1"/>
  <c r="F111" i="17"/>
  <c r="G111" i="17" s="1"/>
  <c r="F112" i="17"/>
  <c r="G112" i="17" s="1"/>
  <c r="F113" i="17"/>
  <c r="F114" i="17"/>
  <c r="F115" i="17"/>
  <c r="F116" i="17"/>
  <c r="F117" i="17"/>
  <c r="F118" i="17"/>
  <c r="F119" i="17"/>
  <c r="F120" i="17"/>
  <c r="G120" i="17" s="1"/>
  <c r="F121" i="17"/>
  <c r="G121" i="17" s="1"/>
  <c r="F122" i="17"/>
  <c r="G122" i="17" s="1"/>
  <c r="F123" i="17"/>
  <c r="G123" i="17" s="1"/>
  <c r="F124" i="17"/>
  <c r="G124" i="17" s="1"/>
  <c r="F125" i="17"/>
  <c r="G125" i="17" s="1"/>
  <c r="F126" i="17"/>
  <c r="G126" i="17" s="1"/>
  <c r="F127" i="17"/>
  <c r="G127" i="17" s="1"/>
  <c r="F128" i="17"/>
  <c r="G128" i="17" s="1"/>
  <c r="F129" i="17"/>
  <c r="F130" i="17"/>
  <c r="F131" i="17"/>
  <c r="F132" i="17"/>
  <c r="F133" i="17"/>
  <c r="F134" i="17"/>
  <c r="F135" i="17"/>
  <c r="F136" i="17"/>
  <c r="F137" i="17"/>
  <c r="F138" i="17"/>
  <c r="F139" i="17"/>
  <c r="G139" i="17" s="1"/>
  <c r="F140" i="17"/>
  <c r="G140" i="17" s="1"/>
  <c r="F141" i="17"/>
  <c r="G141" i="17" s="1"/>
  <c r="F142" i="17"/>
  <c r="G142" i="17" s="1"/>
  <c r="F143" i="17"/>
  <c r="G143" i="17" s="1"/>
  <c r="F144" i="17"/>
  <c r="G144" i="17" s="1"/>
  <c r="F145" i="17"/>
  <c r="G145" i="17" s="1"/>
  <c r="F146" i="17"/>
  <c r="F147" i="17"/>
  <c r="F148" i="17"/>
  <c r="F149" i="17"/>
  <c r="F150" i="17"/>
  <c r="F151" i="17"/>
  <c r="F152" i="17"/>
  <c r="F153" i="17"/>
  <c r="F154" i="17"/>
  <c r="F155" i="17"/>
  <c r="F156" i="17"/>
  <c r="G156" i="17" s="1"/>
  <c r="F157" i="17"/>
  <c r="G157" i="17" s="1"/>
  <c r="F158" i="17"/>
  <c r="G158" i="17" s="1"/>
  <c r="F159" i="17"/>
  <c r="G159" i="17" s="1"/>
  <c r="F160" i="17"/>
  <c r="G160" i="17" s="1"/>
  <c r="F161" i="17"/>
  <c r="G161" i="17" s="1"/>
  <c r="F162" i="17"/>
  <c r="F163" i="17"/>
  <c r="G163" i="17" s="1"/>
  <c r="F164" i="17"/>
  <c r="G164" i="17" s="1"/>
  <c r="F165" i="17"/>
  <c r="G165" i="17" s="1"/>
  <c r="F166" i="17"/>
  <c r="G166" i="17" s="1"/>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F178" i="17"/>
  <c r="F179" i="17"/>
  <c r="F180" i="17"/>
  <c r="G180" i="17" s="1"/>
  <c r="F181" i="17"/>
  <c r="G181" i="17" s="1"/>
  <c r="F182" i="17"/>
  <c r="G182" i="17" s="1"/>
  <c r="F183" i="17"/>
  <c r="G183" i="17" s="1"/>
  <c r="F184" i="17"/>
  <c r="G184" i="17" s="1"/>
  <c r="F185" i="17"/>
  <c r="G185" i="17" s="1"/>
  <c r="F186" i="17"/>
  <c r="G186" i="17" s="1"/>
  <c r="F187" i="17"/>
  <c r="G187" i="17" s="1"/>
  <c r="F188" i="17"/>
  <c r="G188" i="17" s="1"/>
  <c r="F189" i="17"/>
  <c r="G189" i="17" s="1"/>
  <c r="F190" i="17"/>
  <c r="G190" i="17" s="1"/>
  <c r="F191" i="17"/>
  <c r="G191" i="17" s="1"/>
  <c r="F192" i="17"/>
  <c r="G192" i="17" s="1"/>
  <c r="F193" i="17"/>
  <c r="F194" i="17"/>
  <c r="F195" i="17"/>
  <c r="F196" i="17"/>
  <c r="F197" i="17"/>
  <c r="F198" i="17"/>
  <c r="F199" i="17"/>
  <c r="G199" i="17" s="1"/>
  <c r="F200" i="17"/>
  <c r="G200" i="17" s="1"/>
  <c r="F201" i="17"/>
  <c r="G201" i="17" s="1"/>
  <c r="F202" i="17"/>
  <c r="G202" i="17" s="1"/>
  <c r="F203" i="17"/>
  <c r="G203" i="17" s="1"/>
  <c r="F204" i="17"/>
  <c r="G204" i="17" s="1"/>
  <c r="F205" i="17"/>
  <c r="G205" i="17" s="1"/>
  <c r="F206" i="17"/>
  <c r="G206" i="17" s="1"/>
  <c r="F207" i="17"/>
  <c r="G207" i="17" s="1"/>
  <c r="F208" i="17"/>
  <c r="G208" i="17" s="1"/>
  <c r="F209" i="17"/>
  <c r="F210" i="17"/>
  <c r="F211" i="17"/>
  <c r="F212" i="17"/>
  <c r="F213" i="17"/>
  <c r="F214" i="17"/>
  <c r="F215" i="17"/>
  <c r="F216" i="17"/>
  <c r="F217" i="17"/>
  <c r="F218" i="17"/>
  <c r="G218" i="17" s="1"/>
  <c r="F219" i="17"/>
  <c r="G219" i="17" s="1"/>
  <c r="F220" i="17"/>
  <c r="G220" i="17" s="1"/>
  <c r="F221" i="17"/>
  <c r="G221" i="17" s="1"/>
  <c r="F222" i="17"/>
  <c r="G222" i="17" s="1"/>
  <c r="F223" i="17"/>
  <c r="G223" i="17" s="1"/>
  <c r="F224" i="17"/>
  <c r="G224" i="17" s="1"/>
  <c r="F225" i="17"/>
  <c r="F226" i="17"/>
  <c r="F227" i="17"/>
  <c r="F228" i="17"/>
  <c r="F229" i="17"/>
  <c r="F230" i="17"/>
  <c r="F231" i="17"/>
  <c r="F232" i="17"/>
  <c r="F233" i="17"/>
  <c r="F234" i="17"/>
  <c r="F235" i="17"/>
  <c r="F236" i="17"/>
  <c r="G236" i="17" s="1"/>
  <c r="F237" i="17"/>
  <c r="G237" i="17" s="1"/>
  <c r="F238" i="17"/>
  <c r="G238" i="17" s="1"/>
  <c r="F239" i="17"/>
  <c r="F240" i="17"/>
  <c r="G240" i="17" s="1"/>
  <c r="F241" i="17"/>
  <c r="G241" i="17" s="1"/>
  <c r="F242" i="17"/>
  <c r="F243" i="17"/>
  <c r="F244" i="17"/>
  <c r="F245" i="17"/>
  <c r="F246" i="17"/>
  <c r="F247" i="17"/>
  <c r="F248" i="17"/>
  <c r="F249" i="17"/>
  <c r="F250" i="17"/>
  <c r="F251" i="17"/>
  <c r="F252" i="17"/>
  <c r="G252" i="17" s="1"/>
  <c r="F253" i="17"/>
  <c r="G253" i="17" s="1"/>
  <c r="F254" i="17"/>
  <c r="G254" i="17" s="1"/>
  <c r="F255" i="17"/>
  <c r="G255" i="17" s="1"/>
  <c r="F256" i="17"/>
  <c r="G256" i="17" s="1"/>
  <c r="F257" i="17"/>
  <c r="F258" i="17"/>
  <c r="F259" i="17"/>
  <c r="F260" i="17"/>
  <c r="G260" i="17" s="1"/>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F274" i="17"/>
  <c r="F275" i="17"/>
  <c r="F276" i="17"/>
  <c r="F277" i="17"/>
  <c r="F278" i="17"/>
  <c r="G278" i="17" s="1"/>
  <c r="F279" i="17"/>
  <c r="G279" i="17" s="1"/>
  <c r="F280" i="17"/>
  <c r="G280" i="17" s="1"/>
  <c r="F281" i="17"/>
  <c r="G281" i="17" s="1"/>
  <c r="F282" i="17"/>
  <c r="G282" i="17" s="1"/>
  <c r="F283" i="17"/>
  <c r="G283" i="17" s="1"/>
  <c r="F284" i="17"/>
  <c r="G284" i="17" s="1"/>
  <c r="F285" i="17"/>
  <c r="G285" i="17" s="1"/>
  <c r="F286" i="17"/>
  <c r="G286" i="17" s="1"/>
  <c r="F287" i="17"/>
  <c r="G287" i="17" s="1"/>
  <c r="F288" i="17"/>
  <c r="G288" i="17" s="1"/>
  <c r="F289" i="17"/>
  <c r="F290" i="17"/>
  <c r="F291" i="17"/>
  <c r="F292" i="17"/>
  <c r="F293" i="17"/>
  <c r="F294" i="17"/>
  <c r="F295" i="17"/>
  <c r="F296" i="17"/>
  <c r="F297" i="17"/>
  <c r="G297" i="17" s="1"/>
  <c r="F298" i="17"/>
  <c r="G298" i="17" s="1"/>
  <c r="F299" i="17"/>
  <c r="G299" i="17" s="1"/>
  <c r="F300" i="17"/>
  <c r="G300" i="17" s="1"/>
  <c r="F301" i="17"/>
  <c r="G301" i="17" s="1"/>
  <c r="F302" i="17"/>
  <c r="G302" i="17" s="1"/>
  <c r="F303" i="17"/>
  <c r="G303" i="17" s="1"/>
  <c r="F304" i="17"/>
  <c r="G304" i="17" s="1"/>
  <c r="F305" i="17"/>
  <c r="F306" i="17"/>
  <c r="F307" i="17"/>
  <c r="F308" i="17"/>
  <c r="F309" i="17"/>
  <c r="F310" i="17"/>
  <c r="F311" i="17"/>
  <c r="F312" i="17"/>
  <c r="F313" i="17"/>
  <c r="F314" i="17"/>
  <c r="F315" i="17"/>
  <c r="F316" i="17"/>
  <c r="G316" i="17" s="1"/>
  <c r="F317" i="17"/>
  <c r="G317" i="17" s="1"/>
  <c r="F318" i="17"/>
  <c r="G318" i="17" s="1"/>
  <c r="F319" i="17"/>
  <c r="G319" i="17" s="1"/>
  <c r="F320" i="17"/>
  <c r="G320" i="17" s="1"/>
  <c r="F321" i="17"/>
  <c r="G321" i="17" s="1"/>
  <c r="F322" i="17"/>
  <c r="F323" i="17"/>
  <c r="F324" i="17"/>
  <c r="F325" i="17"/>
  <c r="F326" i="17"/>
  <c r="F327" i="17"/>
  <c r="F328" i="17"/>
  <c r="F329" i="17"/>
  <c r="F330" i="17"/>
  <c r="F331" i="17"/>
  <c r="F332" i="17"/>
  <c r="G332" i="17" s="1"/>
  <c r="F333" i="17"/>
  <c r="G333" i="17" s="1"/>
  <c r="F334" i="17"/>
  <c r="G334" i="17" s="1"/>
  <c r="F335" i="17"/>
  <c r="G335" i="17" s="1"/>
  <c r="F336" i="17"/>
  <c r="F337" i="17"/>
  <c r="F338" i="17"/>
  <c r="F339" i="17"/>
  <c r="G339" i="17" s="1"/>
  <c r="F340" i="17"/>
  <c r="G340" i="17" s="1"/>
  <c r="F341" i="17"/>
  <c r="G341" i="17" s="1"/>
  <c r="F342" i="17"/>
  <c r="G342" i="17" s="1"/>
  <c r="F343" i="17"/>
  <c r="G343" i="17" s="1"/>
  <c r="F344" i="17"/>
  <c r="G344" i="17" s="1"/>
  <c r="F345" i="17"/>
  <c r="G345" i="17" s="1"/>
  <c r="F346" i="17"/>
  <c r="G346" i="17" s="1"/>
  <c r="F347" i="17"/>
  <c r="G347" i="17" s="1"/>
  <c r="F348" i="17"/>
  <c r="G348" i="17" s="1"/>
  <c r="F349" i="17"/>
  <c r="G349" i="17" s="1"/>
  <c r="F350" i="17"/>
  <c r="G350" i="17" s="1"/>
  <c r="F351" i="17"/>
  <c r="G351" i="17" s="1"/>
  <c r="F352" i="17"/>
  <c r="G352" i="17" s="1"/>
  <c r="F353" i="17"/>
  <c r="F354" i="17"/>
  <c r="F355" i="17"/>
  <c r="F356" i="17"/>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F370" i="17"/>
  <c r="F371" i="17"/>
  <c r="F372" i="17"/>
  <c r="F373" i="17"/>
  <c r="F374" i="17"/>
  <c r="F375" i="17"/>
  <c r="F376" i="17"/>
  <c r="G376" i="17" s="1"/>
  <c r="F377" i="17"/>
  <c r="G377" i="17" s="1"/>
  <c r="F378" i="17"/>
  <c r="G378" i="17" s="1"/>
  <c r="F379" i="17"/>
  <c r="G379" i="17" s="1"/>
  <c r="F380" i="17"/>
  <c r="G380" i="17" s="1"/>
  <c r="F381" i="17"/>
  <c r="G381" i="17" s="1"/>
  <c r="F382" i="17"/>
  <c r="G382" i="17" s="1"/>
  <c r="F383" i="17"/>
  <c r="G383" i="17" s="1"/>
  <c r="F384" i="17"/>
  <c r="G384" i="17" s="1"/>
  <c r="F385" i="17"/>
  <c r="F386" i="17"/>
  <c r="F387" i="17"/>
  <c r="F388" i="17"/>
  <c r="F389" i="17"/>
  <c r="F390" i="17"/>
  <c r="F391" i="17"/>
  <c r="F392" i="17"/>
  <c r="F393" i="17"/>
  <c r="F394" i="17"/>
  <c r="F395" i="17"/>
  <c r="G395" i="17" s="1"/>
  <c r="F396" i="17"/>
  <c r="G396" i="17" s="1"/>
  <c r="F397" i="17"/>
  <c r="G397" i="17" s="1"/>
  <c r="F398" i="17"/>
  <c r="G398" i="17" s="1"/>
  <c r="F399" i="17"/>
  <c r="G399" i="17" s="1"/>
  <c r="F400" i="17"/>
  <c r="G400" i="17" s="1"/>
  <c r="F401" i="17"/>
  <c r="G401" i="17" s="1"/>
  <c r="F402" i="17"/>
  <c r="F403" i="17"/>
  <c r="F404" i="17"/>
  <c r="F405" i="17"/>
  <c r="F406" i="17"/>
  <c r="F407" i="17"/>
  <c r="F408" i="17"/>
  <c r="F409" i="17"/>
  <c r="F410" i="17"/>
  <c r="F411" i="17"/>
  <c r="F412" i="17"/>
  <c r="G412" i="17" s="1"/>
  <c r="F413" i="17"/>
  <c r="G413" i="17" s="1"/>
  <c r="F414" i="17"/>
  <c r="G414" i="17" s="1"/>
  <c r="F415" i="17"/>
  <c r="G415" i="17" s="1"/>
  <c r="F416" i="17"/>
  <c r="G416" i="17" s="1"/>
  <c r="F417" i="17"/>
  <c r="G417" i="17" s="1"/>
  <c r="F418" i="17"/>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G432" i="17" s="1"/>
  <c r="F433" i="17"/>
  <c r="F434" i="17"/>
  <c r="F435" i="17"/>
  <c r="F436" i="17"/>
  <c r="G436" i="17" s="1"/>
  <c r="F437" i="17"/>
  <c r="G437" i="17" s="1"/>
  <c r="F438" i="17"/>
  <c r="G438" i="17" s="1"/>
  <c r="F439" i="17"/>
  <c r="G439" i="17" s="1"/>
  <c r="F440" i="17"/>
  <c r="G440" i="17" s="1"/>
  <c r="F441" i="17"/>
  <c r="G441" i="17" s="1"/>
  <c r="F442" i="17"/>
  <c r="G442" i="17" s="1"/>
  <c r="F443" i="17"/>
  <c r="G443" i="17" s="1"/>
  <c r="F444" i="17"/>
  <c r="G444" i="17" s="1"/>
  <c r="F445" i="17"/>
  <c r="G445" i="17" s="1"/>
  <c r="F446" i="17"/>
  <c r="G446" i="17" s="1"/>
  <c r="F447" i="17"/>
  <c r="G447" i="17" s="1"/>
  <c r="F448" i="17"/>
  <c r="G448" i="17" s="1"/>
  <c r="F449" i="17"/>
  <c r="F450" i="17"/>
  <c r="F451" i="17"/>
  <c r="F452" i="17"/>
  <c r="F453" i="17"/>
  <c r="F454" i="17"/>
  <c r="F455" i="17"/>
  <c r="G455" i="17" s="1"/>
  <c r="F456" i="17"/>
  <c r="G456" i="17" s="1"/>
  <c r="F457" i="17"/>
  <c r="G457" i="17" s="1"/>
  <c r="F458" i="17"/>
  <c r="G458" i="17" s="1"/>
  <c r="F459" i="17"/>
  <c r="G459" i="17" s="1"/>
  <c r="F460" i="17"/>
  <c r="G460" i="17" s="1"/>
  <c r="F461" i="17"/>
  <c r="G461" i="17" s="1"/>
  <c r="F462" i="17"/>
  <c r="G462" i="17" s="1"/>
  <c r="F463" i="17"/>
  <c r="G463" i="17" s="1"/>
  <c r="F464" i="17"/>
  <c r="G464" i="17" s="1"/>
  <c r="F465" i="17"/>
  <c r="F466" i="17"/>
  <c r="F467" i="17"/>
  <c r="F468" i="17"/>
  <c r="F469" i="17"/>
  <c r="F470" i="17"/>
  <c r="F471" i="17"/>
  <c r="F472" i="17"/>
  <c r="F473" i="17"/>
  <c r="F474" i="17"/>
  <c r="G474" i="17" s="1"/>
  <c r="F475" i="17"/>
  <c r="G475" i="17" s="1"/>
  <c r="F476" i="17"/>
  <c r="G476" i="17" s="1"/>
  <c r="F477" i="17"/>
  <c r="G477" i="17" s="1"/>
  <c r="F478" i="17"/>
  <c r="G478" i="17" s="1"/>
  <c r="F479" i="17"/>
  <c r="G479" i="17" s="1"/>
  <c r="F480" i="17"/>
  <c r="G480" i="17" s="1"/>
  <c r="F481" i="17"/>
  <c r="F482" i="17"/>
  <c r="F483" i="17"/>
  <c r="F484" i="17"/>
  <c r="F485" i="17"/>
  <c r="F486" i="17"/>
  <c r="F487" i="17"/>
  <c r="F488" i="17"/>
  <c r="F489" i="17"/>
  <c r="F490" i="17"/>
  <c r="F491" i="17"/>
  <c r="F492" i="17"/>
  <c r="G492" i="17" s="1"/>
  <c r="F493" i="17"/>
  <c r="G493" i="17" s="1"/>
  <c r="F494" i="17"/>
  <c r="G494" i="17" s="1"/>
  <c r="F495" i="17"/>
  <c r="G495" i="17" s="1"/>
  <c r="F496" i="17"/>
  <c r="G496" i="17" s="1"/>
  <c r="F497" i="17"/>
  <c r="G497" i="17" s="1"/>
  <c r="F498" i="17"/>
  <c r="F499" i="17"/>
  <c r="F500" i="17"/>
  <c r="F501" i="17"/>
  <c r="F502" i="17"/>
  <c r="F503" i="17"/>
  <c r="F504" i="17"/>
  <c r="F505" i="17"/>
  <c r="F506" i="17"/>
  <c r="F507" i="17"/>
  <c r="F508" i="17"/>
  <c r="G508" i="17" s="1"/>
  <c r="F509" i="17"/>
  <c r="G509" i="17" s="1"/>
  <c r="F510" i="17"/>
  <c r="G510" i="17" s="1"/>
  <c r="F511" i="17"/>
  <c r="G511" i="17" s="1"/>
  <c r="F512" i="17"/>
  <c r="G512" i="17" s="1"/>
  <c r="F513" i="17"/>
  <c r="F514" i="17"/>
  <c r="F515" i="17"/>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F530" i="17"/>
  <c r="F531" i="17"/>
  <c r="F532" i="17"/>
  <c r="F533" i="17"/>
  <c r="F534" i="17"/>
  <c r="G534" i="17" s="1"/>
  <c r="F535" i="17"/>
  <c r="G535" i="17" s="1"/>
  <c r="F536" i="17"/>
  <c r="G536" i="17" s="1"/>
  <c r="F537" i="17"/>
  <c r="G537" i="17" s="1"/>
  <c r="F538" i="17"/>
  <c r="G538" i="17" s="1"/>
  <c r="F539" i="17"/>
  <c r="G539" i="17" s="1"/>
  <c r="F540" i="17"/>
  <c r="G540" i="17" s="1"/>
  <c r="F541" i="17"/>
  <c r="G541" i="17" s="1"/>
  <c r="F542" i="17"/>
  <c r="G542" i="17" s="1"/>
  <c r="F543" i="17"/>
  <c r="G543" i="17" s="1"/>
  <c r="F544" i="17"/>
  <c r="G544" i="17" s="1"/>
  <c r="F545" i="17"/>
  <c r="F546" i="17"/>
  <c r="F547" i="17"/>
  <c r="F548" i="17"/>
  <c r="F549" i="17"/>
  <c r="F550" i="17"/>
  <c r="F551" i="17"/>
  <c r="F552" i="17"/>
  <c r="F553" i="17"/>
  <c r="G553" i="17" s="1"/>
  <c r="F554" i="17"/>
  <c r="G554" i="17" s="1"/>
  <c r="F555" i="17"/>
  <c r="G555" i="17" s="1"/>
  <c r="F556" i="17"/>
  <c r="G556" i="17" s="1"/>
  <c r="F557" i="17"/>
  <c r="G557" i="17" s="1"/>
  <c r="F558" i="17"/>
  <c r="G558" i="17" s="1"/>
  <c r="F559" i="17"/>
  <c r="G559" i="17" s="1"/>
  <c r="F560" i="17"/>
  <c r="G560" i="17" s="1"/>
  <c r="F561" i="17"/>
  <c r="F562" i="17"/>
  <c r="F563" i="17"/>
  <c r="F564" i="17"/>
  <c r="F565" i="17"/>
  <c r="F566" i="17"/>
  <c r="F567" i="17"/>
  <c r="F568" i="17"/>
  <c r="F569" i="17"/>
  <c r="F570" i="17"/>
  <c r="F571" i="17"/>
  <c r="F572" i="17"/>
  <c r="G572" i="17" s="1"/>
  <c r="F573" i="17"/>
  <c r="G573" i="17" s="1"/>
  <c r="F574" i="17"/>
  <c r="G574" i="17" s="1"/>
  <c r="F575" i="17"/>
  <c r="G575" i="17" s="1"/>
  <c r="F576" i="17"/>
  <c r="G576" i="17" s="1"/>
  <c r="F577" i="17"/>
  <c r="G577" i="17" s="1"/>
  <c r="F578" i="17"/>
  <c r="F579" i="17"/>
  <c r="F580" i="17"/>
  <c r="F581" i="17"/>
  <c r="F582" i="17"/>
  <c r="F583" i="17"/>
  <c r="F584" i="17"/>
  <c r="F585" i="17"/>
  <c r="F586" i="17"/>
  <c r="F587" i="17"/>
  <c r="F588" i="17"/>
  <c r="G588" i="17" s="1"/>
  <c r="F589" i="17"/>
  <c r="G589" i="17" s="1"/>
  <c r="F590" i="17"/>
  <c r="G590" i="17" s="1"/>
  <c r="F591" i="17"/>
  <c r="G591" i="17" s="1"/>
  <c r="F592" i="17"/>
  <c r="G592" i="17" s="1"/>
  <c r="F593" i="17"/>
  <c r="F594" i="17"/>
  <c r="F595" i="17"/>
  <c r="G595" i="17" s="1"/>
  <c r="F596" i="17"/>
  <c r="G596" i="17" s="1"/>
  <c r="F597" i="17"/>
  <c r="G597" i="17" s="1"/>
  <c r="F598" i="17"/>
  <c r="G598" i="17" s="1"/>
  <c r="F599" i="17"/>
  <c r="G599" i="17" s="1"/>
  <c r="F600" i="17"/>
  <c r="G600" i="17" s="1"/>
  <c r="F601" i="17"/>
  <c r="G601" i="17" s="1"/>
  <c r="F602" i="17"/>
  <c r="G602" i="17" s="1"/>
  <c r="F603" i="17"/>
  <c r="G603" i="17" s="1"/>
  <c r="F604" i="17"/>
  <c r="G604" i="17" s="1"/>
  <c r="F605" i="17"/>
  <c r="G605" i="17" s="1"/>
  <c r="F606" i="17"/>
  <c r="G606" i="17" s="1"/>
  <c r="F607" i="17"/>
  <c r="G607" i="17" s="1"/>
  <c r="F608" i="17"/>
  <c r="G608" i="17" s="1"/>
  <c r="F609" i="17"/>
  <c r="F610" i="17"/>
  <c r="F611" i="17"/>
  <c r="F612" i="17"/>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F626" i="17"/>
  <c r="F627" i="17"/>
  <c r="F628" i="17"/>
  <c r="F629" i="17"/>
  <c r="F630" i="17"/>
  <c r="F631" i="17"/>
  <c r="F632" i="17"/>
  <c r="G632" i="17" s="1"/>
  <c r="F633" i="17"/>
  <c r="G633" i="17" s="1"/>
  <c r="F634" i="17"/>
  <c r="G634" i="17" s="1"/>
  <c r="F635" i="17"/>
  <c r="G635" i="17" s="1"/>
  <c r="F636" i="17"/>
  <c r="G636" i="17" s="1"/>
  <c r="F637" i="17"/>
  <c r="G637" i="17" s="1"/>
  <c r="F638" i="17"/>
  <c r="G638" i="17" s="1"/>
  <c r="F639" i="17"/>
  <c r="G639" i="17" s="1"/>
  <c r="F640" i="17"/>
  <c r="G640" i="17" s="1"/>
  <c r="F641" i="17"/>
  <c r="F642" i="17"/>
  <c r="F643" i="17"/>
  <c r="F644" i="17"/>
  <c r="F645" i="17"/>
  <c r="F646" i="17"/>
  <c r="F647" i="17"/>
  <c r="F648" i="17"/>
  <c r="F649" i="17"/>
  <c r="F650" i="17"/>
  <c r="F651" i="17"/>
  <c r="G651" i="17" s="1"/>
  <c r="F652" i="17"/>
  <c r="G652" i="17" s="1"/>
  <c r="F653" i="17"/>
  <c r="G653" i="17" s="1"/>
  <c r="F654" i="17"/>
  <c r="G654" i="17" s="1"/>
  <c r="F655" i="17"/>
  <c r="G655" i="17" s="1"/>
  <c r="F656" i="17"/>
  <c r="G656" i="17" s="1"/>
  <c r="F657" i="17"/>
  <c r="G657" i="17" s="1"/>
  <c r="F658" i="17"/>
  <c r="F659" i="17"/>
  <c r="F660" i="17"/>
  <c r="F661" i="17"/>
  <c r="F662" i="17"/>
  <c r="F663" i="17"/>
  <c r="F664" i="17"/>
  <c r="F665" i="17"/>
  <c r="F666" i="17"/>
  <c r="F667" i="17"/>
  <c r="F668" i="17"/>
  <c r="G668" i="17" s="1"/>
  <c r="F669" i="17"/>
  <c r="G669" i="17" s="1"/>
  <c r="F670" i="17"/>
  <c r="G670" i="17" s="1"/>
  <c r="F671" i="17"/>
  <c r="G671" i="17" s="1"/>
  <c r="F672" i="17"/>
  <c r="G672" i="17" s="1"/>
  <c r="F673" i="17"/>
  <c r="G673" i="17" s="1"/>
  <c r="F674" i="17"/>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F690" i="17"/>
  <c r="F691" i="17"/>
  <c r="F692" i="17"/>
  <c r="G692" i="17" s="1"/>
  <c r="F693" i="17"/>
  <c r="G693" i="17" s="1"/>
  <c r="F694" i="17"/>
  <c r="G694" i="17" s="1"/>
  <c r="F695" i="17"/>
  <c r="G695" i="17" s="1"/>
  <c r="F696" i="17"/>
  <c r="G696" i="17" s="1"/>
  <c r="F697" i="17"/>
  <c r="G697" i="17" s="1"/>
  <c r="F698" i="17"/>
  <c r="G698" i="17" s="1"/>
  <c r="F699" i="17"/>
  <c r="G699" i="17" s="1"/>
  <c r="F700" i="17"/>
  <c r="G700" i="17" s="1"/>
  <c r="F701" i="17"/>
  <c r="G701" i="17" s="1"/>
  <c r="F702" i="17"/>
  <c r="G702" i="17" s="1"/>
  <c r="F703" i="17"/>
  <c r="G703" i="17" s="1"/>
  <c r="F704" i="17"/>
  <c r="G704" i="17" s="1"/>
  <c r="F705" i="17"/>
  <c r="F706" i="17"/>
  <c r="F707" i="17"/>
  <c r="F708" i="17"/>
  <c r="F709" i="17"/>
  <c r="F710" i="17"/>
  <c r="F711" i="17"/>
  <c r="G711" i="17" s="1"/>
  <c r="F712" i="17"/>
  <c r="G712" i="17" s="1"/>
  <c r="F713" i="17"/>
  <c r="G713" i="17" s="1"/>
  <c r="F714" i="17"/>
  <c r="G714" i="17" s="1"/>
  <c r="F715" i="17"/>
  <c r="G715" i="17" s="1"/>
  <c r="F716" i="17"/>
  <c r="G716" i="17" s="1"/>
  <c r="F717" i="17"/>
  <c r="G717" i="17" s="1"/>
  <c r="F718" i="17"/>
  <c r="G718" i="17" s="1"/>
  <c r="F719" i="17"/>
  <c r="G719" i="17" s="1"/>
  <c r="F720" i="17"/>
  <c r="G720" i="17" s="1"/>
  <c r="F721" i="17"/>
  <c r="F722" i="17"/>
  <c r="F723" i="17"/>
  <c r="F724" i="17"/>
  <c r="F725" i="17"/>
  <c r="F726" i="17"/>
  <c r="F727" i="17"/>
  <c r="F728" i="17"/>
  <c r="F729" i="17"/>
  <c r="F730" i="17"/>
  <c r="G730" i="17" s="1"/>
  <c r="F731" i="17"/>
  <c r="G731" i="17" s="1"/>
  <c r="F732" i="17"/>
  <c r="G732" i="17" s="1"/>
  <c r="F733" i="17"/>
  <c r="G733" i="17" s="1"/>
  <c r="F734" i="17"/>
  <c r="G734" i="17" s="1"/>
  <c r="F735" i="17"/>
  <c r="G735" i="17" s="1"/>
  <c r="F736" i="17"/>
  <c r="G736" i="17" s="1"/>
  <c r="F737" i="17"/>
  <c r="F738" i="17"/>
  <c r="F739" i="17"/>
  <c r="F740" i="17"/>
  <c r="F741" i="17"/>
  <c r="F742" i="17"/>
  <c r="F743" i="17"/>
  <c r="F744" i="17"/>
  <c r="F745" i="17"/>
  <c r="F746" i="17"/>
  <c r="F747" i="17"/>
  <c r="F748" i="17"/>
  <c r="G748" i="17" s="1"/>
  <c r="F749" i="17"/>
  <c r="G749" i="17" s="1"/>
  <c r="F750" i="17"/>
  <c r="G750" i="17" s="1"/>
  <c r="F751" i="17"/>
  <c r="G751" i="17" s="1"/>
  <c r="F752" i="17"/>
  <c r="G752" i="17" s="1"/>
  <c r="F753" i="17"/>
  <c r="G753" i="17" s="1"/>
  <c r="F754" i="17"/>
  <c r="F755" i="17"/>
  <c r="F756" i="17"/>
  <c r="F757" i="17"/>
  <c r="F758" i="17"/>
  <c r="F759" i="17"/>
  <c r="F760" i="17"/>
  <c r="F761" i="17"/>
  <c r="F762" i="17"/>
  <c r="F763" i="17"/>
  <c r="F764" i="17"/>
  <c r="G764" i="17" s="1"/>
  <c r="F765" i="17"/>
  <c r="G765" i="17" s="1"/>
  <c r="F766" i="17"/>
  <c r="G766" i="17" s="1"/>
  <c r="F767" i="17"/>
  <c r="G767" i="17" s="1"/>
  <c r="F768" i="17"/>
  <c r="G768" i="17" s="1"/>
  <c r="F769" i="17"/>
  <c r="F770" i="17"/>
  <c r="F771" i="17"/>
  <c r="F772" i="17"/>
  <c r="G772" i="17" s="1"/>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F786" i="17"/>
  <c r="F787" i="17"/>
  <c r="F788" i="17"/>
  <c r="F789" i="17"/>
  <c r="F790" i="17"/>
  <c r="G790" i="17" s="1"/>
  <c r="F791" i="17"/>
  <c r="G791" i="17" s="1"/>
  <c r="F792" i="17"/>
  <c r="G792" i="17" s="1"/>
  <c r="F793" i="17"/>
  <c r="G793" i="17" s="1"/>
  <c r="F794" i="17"/>
  <c r="G794" i="17" s="1"/>
  <c r="F795" i="17"/>
  <c r="G795" i="17" s="1"/>
  <c r="F796" i="17"/>
  <c r="G796" i="17" s="1"/>
  <c r="F797" i="17"/>
  <c r="G797" i="17" s="1"/>
  <c r="F798" i="17"/>
  <c r="G798" i="17" s="1"/>
  <c r="F799" i="17"/>
  <c r="G799" i="17" s="1"/>
  <c r="F800" i="17"/>
  <c r="G800" i="17" s="1"/>
  <c r="F801" i="17"/>
  <c r="F802" i="17"/>
  <c r="F803" i="17"/>
  <c r="F804" i="17"/>
  <c r="F805" i="17"/>
  <c r="F806" i="17"/>
  <c r="F807" i="17"/>
  <c r="F808" i="17"/>
  <c r="F809" i="17"/>
  <c r="G809" i="17" s="1"/>
  <c r="F810" i="17"/>
  <c r="G810" i="17" s="1"/>
  <c r="F811" i="17"/>
  <c r="G811" i="17" s="1"/>
  <c r="F812" i="17"/>
  <c r="G812" i="17" s="1"/>
  <c r="F813" i="17"/>
  <c r="G813" i="17" s="1"/>
  <c r="F814" i="17"/>
  <c r="G814" i="17" s="1"/>
  <c r="F815" i="17"/>
  <c r="G815" i="17" s="1"/>
  <c r="F816" i="17"/>
  <c r="G816" i="17" s="1"/>
  <c r="F817" i="17"/>
  <c r="F818" i="17"/>
  <c r="F819" i="17"/>
  <c r="F820" i="17"/>
  <c r="F821" i="17"/>
  <c r="F822" i="17"/>
  <c r="F823" i="17"/>
  <c r="F824" i="17"/>
  <c r="F825" i="17"/>
  <c r="F826" i="17"/>
  <c r="F827" i="17"/>
  <c r="F828" i="17"/>
  <c r="G828" i="17" s="1"/>
  <c r="F829" i="17"/>
  <c r="G829" i="17" s="1"/>
  <c r="F830" i="17"/>
  <c r="G830" i="17" s="1"/>
  <c r="F831" i="17"/>
  <c r="G831" i="17" s="1"/>
  <c r="F832" i="17"/>
  <c r="G832" i="17" s="1"/>
  <c r="F833" i="17"/>
  <c r="G833" i="17" s="1"/>
  <c r="F834" i="17"/>
  <c r="F835" i="17"/>
  <c r="F836" i="17"/>
  <c r="F837" i="17"/>
  <c r="F838" i="17"/>
  <c r="F839" i="17"/>
  <c r="F840" i="17"/>
  <c r="F841" i="17"/>
  <c r="F842" i="17"/>
  <c r="F843" i="17"/>
  <c r="F844" i="17"/>
  <c r="G844" i="17" s="1"/>
  <c r="F845" i="17"/>
  <c r="G845" i="17" s="1"/>
  <c r="F846" i="17"/>
  <c r="G846" i="17" s="1"/>
  <c r="F847" i="17"/>
  <c r="G847" i="17" s="1"/>
  <c r="F848" i="17"/>
  <c r="G848" i="17" s="1"/>
  <c r="F849" i="17"/>
  <c r="F850" i="17"/>
  <c r="F851" i="17"/>
  <c r="G851" i="17" s="1"/>
  <c r="F852" i="17"/>
  <c r="G852" i="17" s="1"/>
  <c r="F853" i="17"/>
  <c r="G853" i="17" s="1"/>
  <c r="F854" i="17"/>
  <c r="G854" i="17" s="1"/>
  <c r="F855" i="17"/>
  <c r="G855" i="17" s="1"/>
  <c r="F856" i="17"/>
  <c r="G856" i="17" s="1"/>
  <c r="F857" i="17"/>
  <c r="G857" i="17" s="1"/>
  <c r="F858" i="17"/>
  <c r="G858" i="17" s="1"/>
  <c r="F859" i="17"/>
  <c r="G859" i="17" s="1"/>
  <c r="F860" i="17"/>
  <c r="G860" i="17" s="1"/>
  <c r="F861" i="17"/>
  <c r="G861" i="17" s="1"/>
  <c r="F862" i="17"/>
  <c r="G862" i="17" s="1"/>
  <c r="F863" i="17"/>
  <c r="G863" i="17" s="1"/>
  <c r="F864" i="17"/>
  <c r="G864" i="17" s="1"/>
  <c r="F865" i="17"/>
  <c r="F866" i="17"/>
  <c r="F867" i="17"/>
  <c r="F868" i="17"/>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F882" i="17"/>
  <c r="F883" i="17"/>
  <c r="F884" i="17"/>
  <c r="F885" i="17"/>
  <c r="F886" i="17"/>
  <c r="F887" i="17"/>
  <c r="F888" i="17"/>
  <c r="G888" i="17" s="1"/>
  <c r="F889" i="17"/>
  <c r="G889" i="17" s="1"/>
  <c r="F890" i="17"/>
  <c r="G890" i="17" s="1"/>
  <c r="F891" i="17"/>
  <c r="G891" i="17" s="1"/>
  <c r="F892" i="17"/>
  <c r="G892" i="17" s="1"/>
  <c r="F893" i="17"/>
  <c r="G893" i="17" s="1"/>
  <c r="F894" i="17"/>
  <c r="G894" i="17" s="1"/>
  <c r="F895" i="17"/>
  <c r="G895" i="17" s="1"/>
  <c r="F896" i="17"/>
  <c r="G896" i="17" s="1"/>
  <c r="F897" i="17"/>
  <c r="F898" i="17"/>
  <c r="F899" i="17"/>
  <c r="F900" i="17"/>
  <c r="F901" i="17"/>
  <c r="F902" i="17"/>
  <c r="F903" i="17"/>
  <c r="F904" i="17"/>
  <c r="F905" i="17"/>
  <c r="F906" i="17"/>
  <c r="F907" i="17"/>
  <c r="G907" i="17" s="1"/>
  <c r="F908" i="17"/>
  <c r="G908" i="17" s="1"/>
  <c r="F909" i="17"/>
  <c r="G909" i="17" s="1"/>
  <c r="F910" i="17"/>
  <c r="G910" i="17" s="1"/>
  <c r="F911" i="17"/>
  <c r="G911" i="17" s="1"/>
  <c r="F912" i="17"/>
  <c r="G912" i="17" s="1"/>
  <c r="F913" i="17"/>
  <c r="G913" i="17" s="1"/>
  <c r="F914" i="17"/>
  <c r="F915" i="17"/>
  <c r="F916" i="17"/>
  <c r="F917" i="17"/>
  <c r="F918" i="17"/>
  <c r="F919" i="17"/>
  <c r="F920" i="17"/>
  <c r="F921" i="17"/>
  <c r="F922" i="17"/>
  <c r="F923" i="17"/>
  <c r="F924" i="17"/>
  <c r="G924" i="17" s="1"/>
  <c r="F925" i="17"/>
  <c r="G925" i="17" s="1"/>
  <c r="F926" i="17"/>
  <c r="G926" i="17" s="1"/>
  <c r="F927" i="17"/>
  <c r="G927" i="17" s="1"/>
  <c r="F928" i="17"/>
  <c r="G928" i="17" s="1"/>
  <c r="F929" i="17"/>
  <c r="G929" i="17" s="1"/>
  <c r="F930" i="17"/>
  <c r="F931" i="17"/>
  <c r="G931" i="17" s="1"/>
  <c r="F932" i="17"/>
  <c r="G932" i="17" s="1"/>
  <c r="F933" i="17"/>
  <c r="G933" i="17" s="1"/>
  <c r="F934" i="17"/>
  <c r="G934" i="17" s="1"/>
  <c r="F935" i="17"/>
  <c r="G935" i="17" s="1"/>
  <c r="F936" i="17"/>
  <c r="G936" i="17" s="1"/>
  <c r="F937" i="17"/>
  <c r="G937" i="17" s="1"/>
  <c r="F938" i="17"/>
  <c r="G938" i="17" s="1"/>
  <c r="F939" i="17"/>
  <c r="G939" i="17" s="1"/>
  <c r="F940" i="17"/>
  <c r="G940" i="17" s="1"/>
  <c r="F941" i="17"/>
  <c r="G941" i="17" s="1"/>
  <c r="F942" i="17"/>
  <c r="G942" i="17" s="1"/>
  <c r="F943" i="17"/>
  <c r="G943" i="17" s="1"/>
  <c r="F944" i="17"/>
  <c r="G944" i="17" s="1"/>
  <c r="F945" i="17"/>
  <c r="F946" i="17"/>
  <c r="F947" i="17"/>
  <c r="F948" i="17"/>
  <c r="F949" i="17"/>
  <c r="G949" i="17" s="1"/>
  <c r="F950" i="17"/>
  <c r="G950" i="17" s="1"/>
  <c r="F951" i="17"/>
  <c r="G951" i="17" s="1"/>
  <c r="F952" i="17"/>
  <c r="G952" i="17" s="1"/>
  <c r="F953" i="17"/>
  <c r="G953" i="17" s="1"/>
  <c r="F954" i="17"/>
  <c r="G954" i="17" s="1"/>
  <c r="F955" i="17"/>
  <c r="G955" i="17" s="1"/>
  <c r="F956" i="17"/>
  <c r="G956" i="17" s="1"/>
  <c r="F957" i="17"/>
  <c r="G957" i="17" s="1"/>
  <c r="F958" i="17"/>
  <c r="G958" i="17" s="1"/>
  <c r="F959" i="17"/>
  <c r="G959" i="17" s="1"/>
  <c r="F960" i="17"/>
  <c r="G960" i="17" s="1"/>
  <c r="F961" i="17"/>
  <c r="F962" i="17"/>
  <c r="F963" i="17"/>
  <c r="F964" i="17"/>
  <c r="F965" i="17"/>
  <c r="F966" i="17"/>
  <c r="F967" i="17"/>
  <c r="G967" i="17" s="1"/>
  <c r="F968" i="17"/>
  <c r="G968" i="17" s="1"/>
  <c r="F969" i="17"/>
  <c r="G969" i="17" s="1"/>
  <c r="F970" i="17"/>
  <c r="G970" i="17" s="1"/>
  <c r="F971" i="17"/>
  <c r="G971" i="17" s="1"/>
  <c r="F972" i="17"/>
  <c r="G972" i="17" s="1"/>
  <c r="F973" i="17"/>
  <c r="G973" i="17" s="1"/>
  <c r="F974" i="17"/>
  <c r="G974" i="17" s="1"/>
  <c r="F975" i="17"/>
  <c r="G975" i="17" s="1"/>
  <c r="F976" i="17"/>
  <c r="G976" i="17" s="1"/>
  <c r="F977" i="17"/>
  <c r="F978" i="17"/>
  <c r="F979" i="17"/>
  <c r="F980" i="17"/>
  <c r="F981" i="17"/>
  <c r="F982" i="17"/>
  <c r="F983" i="17"/>
  <c r="F984" i="17"/>
  <c r="F985" i="17"/>
  <c r="F986" i="17"/>
  <c r="G986" i="17" s="1"/>
  <c r="F987" i="17"/>
  <c r="G987" i="17" s="1"/>
  <c r="F988" i="17"/>
  <c r="G988" i="17" s="1"/>
  <c r="F989" i="17"/>
  <c r="G989" i="17" s="1"/>
  <c r="F990" i="17"/>
  <c r="G990" i="17" s="1"/>
  <c r="F991" i="17"/>
  <c r="G991" i="17" s="1"/>
  <c r="F992" i="17"/>
  <c r="G992" i="17" s="1"/>
  <c r="F993" i="17"/>
  <c r="F994" i="17"/>
  <c r="F995" i="17"/>
  <c r="F996" i="17"/>
  <c r="F997" i="17"/>
  <c r="F998" i="17"/>
  <c r="F999" i="17"/>
  <c r="F1000" i="17"/>
  <c r="F1001" i="17"/>
  <c r="F3" i="17"/>
  <c r="G3" i="17" s="1"/>
  <c r="F4" i="17"/>
  <c r="G4" i="17" s="1"/>
  <c r="F5" i="17"/>
  <c r="G5" i="17" s="1"/>
  <c r="F6" i="17"/>
  <c r="G6" i="17" s="1"/>
  <c r="F7" i="17"/>
  <c r="G7" i="17" s="1"/>
  <c r="F8" i="17"/>
  <c r="G8" i="17" s="1"/>
  <c r="F9" i="17"/>
  <c r="G9" i="17" s="1"/>
  <c r="F10" i="17"/>
  <c r="F11" i="17"/>
  <c r="F12" i="17"/>
  <c r="G12" i="17" s="1"/>
  <c r="F13" i="17"/>
  <c r="G13" i="17" s="1"/>
  <c r="F14" i="17"/>
  <c r="G14" i="17" s="1"/>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<sst xmlns="http://schemas.openxmlformats.org/spreadsheetml/2006/main" count="11128" uniqueCount="6222">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</sst>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dd/mmm/yyyy"/>
    <numFmt numFmtId="166" formatCode="0.0\ &quot;kg&quot;"/>
    <numFmt numFmtId="167" formatCode="_-[$$-409]* #,##0.00_ ;_-[$$-409]* \-#,##0.00\ ;_-[$$-409]* &quot;-&quot;??_ ;_-@_ "/>
    <numFmt numFmtId="168" formatCode="[$$-409]#,##0"/>
  </numFmts>
  <fonts count="4" x14ac:knownFonts="1">
    <font>
      <sz val="11"/>
      <color theme="1"/>
      <name val="Calibri"/>
      <family val="2"/>
      <scheme val="minor"/>
    </font>
    <font>
      <sz val="11"/>
      <color indexed="8"/>
      <name val="Calibri"/>
      <family val="2"/>
    </font>
    <font>
      <sz val="11"/>
      <color theme="1"/>
      <name val="Calibri"/>
      <family val="2"/>
      <scheme val="minor"/>
    </font>
    <font>
      <sz val="11"/>
      <color theme="1" tint="4.9989318521683403E-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1" fontId="0" fillId="0" borderId="0" xfId="0" pivotButton="1" applyNumberFormat="1"/>
    <xf numFmtId="1" fontId="0" fillId="0" borderId="0" xfId="0" applyNumberFormat="1"/>
    <xf numFmtId="0" fontId="3" fillId="0" borderId="0" xfId="0" applyFont="1"/>
    <xf numFmtId="168" fontId="0" fillId="0" borderId="0" xfId="0" applyNumberFormat="1"/>
  </cellXfs>
  <cellStyles count="2">
    <cellStyle name="Currency" xfId="1" builtinId="4"/>
    <cellStyle name="Normal" xfId="0" builtinId="0"/>
  </cellStyles>
  <dxfs count="27">
    <dxf>
      <numFmt numFmtId="168" formatCode="[$$-409]#,##0"/>
    </dxf>
    <dxf>
      <numFmt numFmtId="1" formatCode="0"/>
    </dxf>
    <dxf>
      <numFmt numFmtId="1" formatCode="0"/>
    </dxf>
    <dxf>
      <numFmt numFmtId="1" formatCode="0"/>
    </dxf>
    <dxf>
      <numFmt numFmtId="168" formatCode="[$$-409]#,##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family val="2"/>
        <scheme val="minor"/>
      </font>
      <numFmt numFmtId="167" formatCode="_-[$$-409]* #,##0.00_ ;_-[$$-409]* \-#,##0.00\ ;_-[$$-409]* &quot;-&quot;??_ ;_-@_ "/>
    </dxf>
    <dxf>
      <font>
        <b val="0"/>
        <i val="0"/>
        <strike val="0"/>
        <condense val="0"/>
        <extend val="0"/>
        <outline val="0"/>
        <shadow val="0"/>
        <u val="none"/>
        <vertAlign val="baseline"/>
        <sz val="11"/>
        <color theme="1"/>
        <name val="Calibri"/>
        <family val="2"/>
        <scheme val="minor"/>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alibri"/>
        <family val="2"/>
        <scheme val="minor"/>
      </font>
      <fill>
        <patternFill>
          <bgColor rgb="FF3C1464"/>
        </patternFill>
      </fill>
    </dxf>
    <dxf>
      <font>
        <b val="0"/>
        <i val="0"/>
        <sz val="11"/>
        <color theme="0"/>
        <name val="Calibri"/>
        <family val="2"/>
        <scheme val="minor"/>
      </font>
      <fill>
        <patternFill>
          <bgColor rgb="FF3C1464"/>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rple Timeline Style" pivot="0" table="0" count="8" xr9:uid="{90FD1E5B-7999-4F5E-8AE5-B205E7F02A13}">
      <tableStyleElement type="wholeTable" dxfId="26"/>
      <tableStyleElement type="headerRow" dxfId="25"/>
    </tableStyle>
    <tableStyle name="Slicer Style 1" pivot="0" table="0" count="6" xr9:uid="{A117EFA3-B560-4BFD-A1D8-E218CE274FC9}">
      <tableStyleElement type="wholeTable" dxfId="24"/>
      <tableStyleElement type="headerRow" dxfId="23"/>
    </tableStyle>
  </tableStyles>
  <colors>
    <mruColors>
      <color rgb="FF3C1464"/>
      <color rgb="FFDEC8EE"/>
      <color rgb="FFCEDEA6"/>
      <color rgb="FFFECED9"/>
      <color rgb="FFEF9795"/>
    </mruColors>
  </colors>
  <extLst>
    <ext xmlns:x14="http://schemas.microsoft.com/office/spreadsheetml/2009/9/main" uri="{46F421CA-312F-682f-3DD2-61675219B42D}">
      <x14:dxfs count="4">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tint="-4.9989318521683403E-2"/>
            <name val="Calibri"/>
            <family val="2"/>
            <scheme val="minor"/>
          </font>
          <border>
            <left style="thin">
              <color theme="0"/>
            </left>
            <right style="thin">
              <color theme="0"/>
            </right>
            <top style="thin">
              <color theme="0"/>
            </top>
            <bottom style="thin">
              <color theme="0"/>
            </bottom>
          </border>
        </dxf>
        <dxf>
          <font>
            <b/>
            <i val="0"/>
            <sz val="1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b/>
            <i/>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[coffeeOrdersDataWithDashboard.xlsx]Top5Customers!CountryBarChart</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3C14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179-4DB1-8AF8-9F26B3B9F061}"/>
            </c:ext>
          </c:extLst>
        </c:ser>
        <c:dLbls>
          <c:dLblPos val="outEnd"/>
          <c:showLegendKey val="0"/>
          <c:showVal val="1"/>
          <c:showCatName val="0"/>
          <c:showSerName val="0"/>
          <c:showPercent val="0"/>
          <c:showBubbleSize val="0"/>
        </c:dLbls>
        <c:gapWidth val="219"/>
        <c:axId val="80168496"/>
        <c:axId val="80186256"/>
      </c:barChart>
      <c:catAx>
        <c:axId val="8016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6256"/>
        <c:crosses val="autoZero"/>
        <c:auto val="1"/>
        <c:lblAlgn val="ctr"/>
        <c:lblOffset val="100"/>
        <c:noMultiLvlLbl val="0"/>
      </c:catAx>
      <c:valAx>
        <c:axId val="80186256"/>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[coffeeOrdersDataWithDashboard.xlsx]CountryBarChart!CountryBarChart</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 by</a:t>
            </a:r>
            <a:r>
              <a:rPr lang="en-US" sz="1600" b="1" baseline="0">
                <a:solidFill>
                  <a:schemeClr val="tx1"/>
                </a:solidFill>
              </a:rPr>
              <a:t> Country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3C14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AAE-4390-AB4B-6143763DEE25}"/>
            </c:ext>
          </c:extLst>
        </c:ser>
        <c:dLbls>
          <c:dLblPos val="outEnd"/>
          <c:showLegendKey val="0"/>
          <c:showVal val="1"/>
          <c:showCatName val="0"/>
          <c:showSerName val="0"/>
          <c:showPercent val="0"/>
          <c:showBubbleSize val="0"/>
        </c:dLbls>
        <c:gapWidth val="219"/>
        <c:axId val="80168496"/>
        <c:axId val="80186256"/>
      </c:barChart>
      <c:catAx>
        <c:axId val="8016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6256"/>
        <c:crosses val="autoZero"/>
        <c:auto val="1"/>
        <c:lblAlgn val="ctr"/>
        <c:lblOffset val="100"/>
        <c:noMultiLvlLbl val="0"/>
      </c:catAx>
      <c:valAx>
        <c:axId val="80186256"/>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[coffeeOrdersDataWithDashboard.xlsx]TotalSales!TotalSales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600"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975-4182-B144-D99E2DC830F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975-4182-B144-D99E2DC830F3}"/>
            </c:ext>
          </c:extLst>
        </c:ser>
        <c:ser>
          <c:idx val="2"/>
          <c:order val="2"/>
          <c:tx>
            <c:strRef>
              <c:f>TotalSales!$E$3:$E$4</c:f>
              <c:strCache>
                <c:ptCount val="1"/>
                <c:pt idx="0">
                  <c:v>Liberica</c:v>
                </c:pt>
              </c:strCache>
            </c:strRef>
          </c:tx>
          <c:spPr>
            <a:ln w="28575" cap="rnd">
              <a:solidFill>
                <a:schemeClr val="tx1">
                  <a:lumMod val="65000"/>
                  <a:lumOff val="3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975-4182-B144-D99E2DC830F3}"/>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975-4182-B144-D99E2DC830F3}"/>
            </c:ext>
          </c:extLst>
        </c:ser>
        <c:dLbls>
          <c:showLegendKey val="0"/>
          <c:showVal val="0"/>
          <c:showCatName val="0"/>
          <c:showSerName val="0"/>
          <c:showPercent val="0"/>
          <c:showBubbleSize val="0"/>
        </c:dLbls>
        <c:smooth val="0"/>
        <c:axId val="879538320"/>
        <c:axId val="879534960"/>
      </c:lineChart>
      <c:catAx>
        <c:axId val="87953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sz="1200" b="1"/>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79534960"/>
        <c:crosses val="autoZero"/>
        <c:auto val="1"/>
        <c:lblAlgn val="ctr"/>
        <c:lblOffset val="100"/>
        <c:noMultiLvlLbl val="0"/>
      </c:catAx>
      <c:valAx>
        <c:axId val="87953496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US" sz="1200" b="1"/>
                  <a:t>USD</a:t>
                </a:r>
              </a:p>
            </c:rich>
          </c:tx>
          <c:layout>
            <c:manualLayout>
              <c:xMode val="edge"/>
              <c:yMode val="edge"/>
              <c:x val="8.762704714376535E-3"/>
              <c:y val="0.3915503132864640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7953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EE">
        <a:alpha val="97647"/>
      </a:srgbClr>
    </a:solidFill>
    <a:ln w="9525" cap="flat" cmpd="sng" algn="ctr">
      <a:solidFill>
        <a:schemeClr val="bg1"/>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14" name="Rectangle 1">
          <a:extLst>
            <a:ext uri="{FF2B5EF4-FFF2-40B4-BE49-F238E27FC236}">
              <a16:creationId xmlns:a16="http://schemas.microsoft.com/office/drawing/2014/main" id="{457730EF-4499-69A0-68ED-692F2F727A24}"/>
            </a:ext>
          </a:extLst>
        </xdr:cNvPr>
        <xdr:cNvSpPr/>
      </xdr:nvSpPr>
      <xdr:spPr>
        <a:xfrm>
          <a:off x="119865" y="179798"/>
          <a:ext cx="15197191" cy="719191"/>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rPr>
            <a:t>COFFEE</a:t>
          </a:r>
          <a:r>
            <a:rPr lang="en-IN" sz="4400" baseline="0">
              <a:solidFill>
                <a:schemeClr val="bg1"/>
              </a:solidFill>
            </a:rPr>
            <a:t> SALES DASHBOARD</a:t>
          </a:r>
          <a:endParaRPr lang="en-IN" sz="4400">
            <a:solidFill>
              <a:schemeClr val="bg1"/>
            </a:solidFill>
          </a:endParaRPr>
        </a:p>
      </xdr:txBody>
    </xdr:sp>
    <xdr:clientData/>
  </xdr:twoCellAnchor>
  <xdr:twoCellAnchor>
    <xdr:from>
      <xdr:col>16</xdr:col>
      <xdr:colOff>258097</xdr:colOff>
      <xdr:row>28</xdr:row>
      <xdr:rowOff>24582</xdr:rowOff>
    </xdr:from>
    <xdr:to>
      <xdr:col>26</xdr:col>
      <xdr:colOff>36872</xdr:colOff>
      <xdr:row>42</xdr:row>
      <xdr:rowOff>24581</xdr:rowOff>
    </xdr:to>
    <xdr:graphicFrame macro="">
      <xdr:nvGraphicFramePr>
        <xdr:cNvPr id="3" name="Chart 2">
          <a:extLst>
            <a:ext uri="{FF2B5EF4-FFF2-40B4-BE49-F238E27FC236}">
              <a16:creationId xmlns:a16="http://schemas.microsoft.com/office/drawing/2014/main" id="{0B1C00F7-698E-4340-A12A-6E766E045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254368</xdr:colOff>
      <xdr:row>16</xdr:row>
      <xdr:rowOff>102745</xdr:rowOff>
    </xdr:from>
    <xdr:to>
      <xdr:col>26</xdr:col>
      <xdr:colOff>36871</xdr:colOff>
      <xdr:row>27</xdr:row>
      <xdr:rowOff>1</xdr:rowOff>
    </xdr:to>
    <xdr:graphicFrame macro="">
      <xdr:nvGraphicFramePr>
        <xdr:cNvPr id="4" name="Chart 3">
          <a:extLst>
            <a:ext uri="{FF2B5EF4-FFF2-40B4-BE49-F238E27FC236}">
              <a16:creationId xmlns:a16="http://schemas.microsoft.com/office/drawing/2014/main" id="{64225B0C-4AA3-4618-B717-A5B77643C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68739</xdr:rowOff>
    </xdr:from>
    <xdr:to>
      <xdr:col>16</xdr:col>
      <xdr:colOff>24581</xdr:colOff>
      <xdr:row>42</xdr:row>
      <xdr:rowOff>24581</xdr:rowOff>
    </xdr:to>
    <xdr:graphicFrame macro="">
      <xdr:nvGraphicFramePr>
        <xdr:cNvPr id="5" name="Chart 4">
          <a:extLst>
            <a:ext uri="{FF2B5EF4-FFF2-40B4-BE49-F238E27FC236}">
              <a16:creationId xmlns:a16="http://schemas.microsoft.com/office/drawing/2014/main" id="{887A6E61-29CB-4CE9-A8BD-D47A19BC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14753</xdr:colOff>
      <xdr:row>6</xdr:row>
      <xdr:rowOff>0</xdr:rowOff>
    </xdr:from>
    <xdr:to>
      <xdr:col>18</xdr:col>
      <xdr:colOff>547955</xdr:colOff>
      <xdr:row>15</xdr:row>
      <xdr:rowOff>68495</xdr:rowOff>
    </xdr:to>
    <mc:AlternateContent xmlns:mc="http://schemas.openxmlformats.org/markup-compatibility/2006" xmlns:tsle="http://schemas.microsoft.com/office/drawing/2012/timeslicer">
      <mc:Choice Requires="tsle">
        <xdr:graphicFrame macro="">
          <xdr:nvGraphicFramePr>
            <xdr:cNvPr id="13" name="Order Date">
              <a:extLst>
                <a:ext uri="{FF2B5EF4-FFF2-40B4-BE49-F238E27FC236}">
                  <a16:creationId xmlns:a16="http://schemas.microsoft.com/office/drawing/2014/main" id="{3E009AA6-F983-4BC4-829E-C97209DE224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0259" y="1075765"/>
              <a:ext cx="10312588" cy="15239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140590</xdr:colOff>
      <xdr:row>10</xdr:row>
      <xdr:rowOff>139561</xdr:rowOff>
    </xdr:from>
    <xdr:to>
      <xdr:col>22</xdr:col>
      <xdr:colOff>505146</xdr:colOff>
      <xdr:row>15</xdr:row>
      <xdr:rowOff>72103</xdr:rowOff>
    </xdr:to>
    <mc:AlternateContent xmlns:mc="http://schemas.openxmlformats.org/markup-compatibility/2006" xmlns:a14="http://schemas.microsoft.com/office/drawing/2010/main">
      <mc:Choice Requires="a14">
        <xdr:graphicFrame macro="">
          <xdr:nvGraphicFramePr>
            <xdr:cNvPr id="12" name="Size">
              <a:extLst>
                <a:ext uri="{FF2B5EF4-FFF2-40B4-BE49-F238E27FC236}">
                  <a16:creationId xmlns:a16="http://schemas.microsoft.com/office/drawing/2014/main" id="{9CB7708A-5E13-499A-A7E3-1179792F30F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16590" y="1938728"/>
              <a:ext cx="2206056" cy="83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128427</xdr:colOff>
      <xdr:row>6</xdr:row>
      <xdr:rowOff>5767</xdr:rowOff>
    </xdr:from>
    <xdr:to>
      <xdr:col>26</xdr:col>
      <xdr:colOff>15621</xdr:colOff>
      <xdr:row>9</xdr:row>
      <xdr:rowOff>171236</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2B3DF326-1AC3-43FA-AB14-A363369AE3F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268945" y="1081532"/>
              <a:ext cx="3112182" cy="609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42809</xdr:colOff>
      <xdr:row>10</xdr:row>
      <xdr:rowOff>149331</xdr:rowOff>
    </xdr:from>
    <xdr:to>
      <xdr:col>26</xdr:col>
      <xdr:colOff>24687</xdr:colOff>
      <xdr:row>15</xdr:row>
      <xdr:rowOff>61279</xdr:rowOff>
    </xdr:to>
    <mc:AlternateContent xmlns:mc="http://schemas.openxmlformats.org/markup-compatibility/2006" xmlns:a14="http://schemas.microsoft.com/office/drawing/2010/main">
      <mc:Choice Requires="a14">
        <xdr:graphicFrame macro="">
          <xdr:nvGraphicFramePr>
            <xdr:cNvPr id="11" name="Loyality Card">
              <a:extLst>
                <a:ext uri="{FF2B5EF4-FFF2-40B4-BE49-F238E27FC236}">
                  <a16:creationId xmlns:a16="http://schemas.microsoft.com/office/drawing/2014/main" id="{7F3C7E64-9671-46F8-A822-703A488A4904}"/>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3674142" y="1948498"/>
              <a:ext cx="1823378" cy="811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sh Raj" refreshedDate="46029.056615046298" createdVersion="8" refreshedVersion="8" minRefreshableVersion="3" recordCount="1000" xr:uid="{F07963C2-34E5-440D-A6AE-6F540401D10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52472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1B4FF-8BA4-4F56-AD4A-F7B8BE697C6C}" name="TotalSales"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formats count="4">
    <format dxfId="11">
      <pivotArea outline="0" collapsedLevelsAreSubtotals="1" fieldPosition="0"/>
    </format>
    <format dxfId="10">
      <pivotArea field="13" type="button" dataOnly="0" labelOnly="1" outline="0" axis="axisCol" fieldPosition="0"/>
    </format>
    <format dxfId="9">
      <pivotArea type="topRight" dataOnly="0" labelOnly="1" outline="0" fieldPosition="0"/>
    </format>
    <format dxfId="8">
      <pivotArea dataOnly="0" labelOnly="1" outline="0" fieldPosition="0">
        <references count="1">
          <reference field="13" count="0"/>
        </references>
      </pivotArea>
    </format>
  </formats>
  <chartFormats count="1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2"/>
          </reference>
        </references>
      </pivotArea>
    </chartFormat>
    <chartFormat chart="8" format="7"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D525A-7591-435E-ABAA-55273E61FE48}" name="CountryBarChart"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6"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4">
    <format dxfId="7">
      <pivotArea outline="0" collapsedLevelsAreSubtotals="1" fieldPosition="0"/>
    </format>
    <format dxfId="6">
      <pivotArea field="13" type="button" dataOnly="0" labelOnly="1" outline="0"/>
    </format>
    <format dxfId="5">
      <pivotArea type="topRight" dataOnly="0" labelOnly="1" outline="0" fieldPosition="0"/>
    </format>
    <format dxfId="4">
      <pivotArea outline="0" fieldPosition="0">
        <references count="1">
          <reference field="4294967294" count="1">
            <x v="0"/>
          </reference>
        </references>
      </pivotArea>
    </format>
  </formats>
  <chartFormats count="6">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BB0626-4738-4EF0-837D-F990971727EF}" name="CountryBarChart"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
  <location ref="A3:B8"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4">
    <format dxfId="3">
      <pivotArea outline="0" collapsedLevelsAreSubtotals="1" fieldPosition="0"/>
    </format>
    <format dxfId="2">
      <pivotArea field="13" type="button" dataOnly="0" labelOnly="1" outline="0"/>
    </format>
    <format dxfId="1">
      <pivotArea type="topRight" dataOnly="0" labelOnly="1" outline="0" fieldPosition="0"/>
    </format>
    <format dxfId="0">
      <pivotArea outline="0" fieldPosition="0">
        <references count="1">
          <reference field="4294967294" count="1">
            <x v="0"/>
          </reference>
        </references>
      </pivotArea>
    </format>
  </formats>
  <chartFormats count="4">
    <chartFormat chart="8"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8AEF91A-8C3C-42B8-8332-BAE0C1DF8A51}" sourceName="Size">
  <pivotTables>
    <pivotTable tabId="18" name="TotalSales"/>
    <pivotTable tabId="20" name="CountryBarChart"/>
    <pivotTable tabId="21" name="CountryBarChart"/>
  </pivotTables>
  <data>
    <tabular pivotCacheId="85247278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7FD67FB-DE62-493B-825D-7DBBD9E99516}" sourceName="Roast Type Name">
  <pivotTables>
    <pivotTable tabId="18" name="TotalSales"/>
    <pivotTable tabId="20" name="CountryBarChart"/>
    <pivotTable tabId="21" name="CountryBarChart"/>
  </pivotTables>
  <data>
    <tabular pivotCacheId="8524727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B6182E95-75CF-4D26-98DF-C4014C4A9DF9}" sourceName="Loyality Card">
  <pivotTables>
    <pivotTable tabId="18" name="TotalSales"/>
    <pivotTable tabId="20" name="CountryBarChart"/>
    <pivotTable tabId="21" name="CountryBarChart"/>
  </pivotTables>
  <data>
    <tabular pivotCacheId="8524727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EB0C151-86D4-476D-BF7C-D4EF586C27C6}" cache="Slicer_Size" caption="Size" columnCount="2" style="Slicer Style 1" rowHeight="234950"/>
  <slicer name="Roast Type Name" xr10:uid="{43CB00E7-A354-467E-8FE3-94F2924EB01F}" cache="Slicer_Roast_Type_Name" caption="Roast Type Name" columnCount="3" style="Slicer Style 1" rowHeight="234950"/>
  <slicer name="Loyality Card" xr10:uid="{B2ED67E7-040D-4B63-BF97-52F7E6821016}" cache="Slicer_Loyality_Card" caption="Loyali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966A63-6BED-4D6B-B697-957A7BB99C80}" name="Orders" displayName="Orders" ref="A1:P1001" totalsRowShown="0">
  <autoFilter ref="A1:P1001" xr:uid="{96966A63-6BED-4D6B-B697-957A7BB99C80}"/>
  <tableColumns count="16">
    <tableColumn id="1" xr3:uid="{34BCE487-1C4C-4541-A0A4-DF127CC11E00}" name="Order ID" dataDxfId="22"/>
    <tableColumn id="2" xr3:uid="{A322F451-D6C2-4E1B-B2C4-1F07EF85E104}" name="Order Date" dataDxfId="21"/>
    <tableColumn id="3" xr3:uid="{E56A751E-F9C6-4628-ABD7-61007098F00C}" name="Customer ID" dataDxfId="20"/>
    <tableColumn id="4" xr3:uid="{8BAFD645-C84F-4025-A930-7B708D8E8ECC}" name="Product ID"/>
    <tableColumn id="5" xr3:uid="{FDA83E0B-D78E-4851-B8A9-83FECCE0D247}" name="Quantity" dataDxfId="19"/>
    <tableColumn id="6" xr3:uid="{9069EDFC-EA31-4DD4-A246-42B9739620D4}" name="Customer Name" dataDxfId="18">
      <calculatedColumnFormula>_xlfn.XLOOKUP(C2,customers!$A$1:$A$1001,customers!$B$1:$B$1001,,0)</calculatedColumnFormula>
    </tableColumn>
    <tableColumn id="7" xr3:uid="{F978F2F5-27D9-46B1-94AC-8F50E1512816}" name="Email" dataDxfId="17">
      <calculatedColumnFormula>IF(_xlfn.XLOOKUP(F2,customers!$B$1:$B$1001,customers!$C$1:$C$1001,,0)=0,"",_xlfn.XLOOKUP(F2,customers!$B$1:$B$1001,customers!$C$1:$C$1001,,0))</calculatedColumnFormula>
    </tableColumn>
    <tableColumn id="8" xr3:uid="{BA5E984B-C37A-498C-BF37-AB459A850E7B}" name="Country" dataDxfId="16">
      <calculatedColumnFormula>_xlfn.XLOOKUP(C2,customers!$A$1:$A$1001,customers!$G$1:$G$1001,,0)</calculatedColumnFormula>
    </tableColumn>
    <tableColumn id="9" xr3:uid="{9E312FC5-6421-4BC2-9206-A3D504980B95}" name="Coffee Type">
      <calculatedColumnFormula>_xlfn.XLOOKUP(D2,products!$A$1:$A$49,products!$B$1:$B$49,,0)</calculatedColumnFormula>
    </tableColumn>
    <tableColumn id="10" xr3:uid="{E217C09D-96B9-4BCC-9946-67D83622F89E}" name="Roast Type">
      <calculatedColumnFormula>_xlfn.XLOOKUP(D2,products!$A$1:$A$49,products!$C$1:$C$49,,0)</calculatedColumnFormula>
    </tableColumn>
    <tableColumn id="11" xr3:uid="{76AA57B7-8C05-489E-ADE1-DCED07188C8B}" name="Size" dataDxfId="15">
      <calculatedColumnFormula>_xlfn.XLOOKUP(D2,products!$A$1:$A$49,products!$D$1:$D$49,,0)</calculatedColumnFormula>
    </tableColumn>
    <tableColumn id="12" xr3:uid="{B335257B-540A-46EC-AE34-ACB2D7D63313}" name="Unit Price" dataDxfId="14" dataCellStyle="Currency">
      <calculatedColumnFormula>_xlfn.XLOOKUP(D2,products!$A$1:$A$49,products!$E$1:$E$49,,0)</calculatedColumnFormula>
    </tableColumn>
    <tableColumn id="13" xr3:uid="{23C38318-1959-424E-8612-4AEF5438D6F8}" name="Sales" dataDxfId="13" dataCellStyle="Currency">
      <calculatedColumnFormula>(L2*E2)</calculatedColumnFormula>
    </tableColumn>
    <tableColumn id="14" xr3:uid="{2A9B243D-3556-4A1F-8D6F-CDE9F4A7E909}" name="Coffee Type Name">
      <calculatedColumnFormula>IF(I2="Rob","Robusta", IF(I2="Exc","Excelsa",IF(I2="Ara","Arabica",IF(I2="Lib","Liberica",""))))</calculatedColumnFormula>
    </tableColumn>
    <tableColumn id="15" xr3:uid="{89E1046C-5EA0-4F5B-A741-0214AF2A6CA5}" name="Roast Type Name">
      <calculatedColumnFormula>IF(J2="M","Medium",IF(J2="L","Light",IF(J2="D","Dark")))</calculatedColumnFormula>
    </tableColumn>
    <tableColumn id="16" xr3:uid="{3E5F835D-DED8-4FEE-96A1-399A29BF62DB}" name="Loyality Card" dataDxfId="12">
      <calculatedColumnFormula>_xlfn.XLOOKUP(Orders[[#This Row],[Customer ID]],customers!$A$1:$A$1001,customers!$I$1:$I$1001,,0)</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D67D4F-05F0-4FC1-B782-54A8AD28A854}" sourceName="Order Date">
  <pivotTables>
    <pivotTable tabId="18" name="TotalSales"/>
    <pivotTable tabId="20" name="CountryBarChart"/>
    <pivotTable tabId="21" name="CountryBarChart"/>
  </pivotTables>
  <state minimalRefreshVersion="6" lastRefreshVersion="6" pivotCacheId="85247278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3F5D384-299F-4F23-AB4D-B9F1F54B7C60}" cache="NativeTimeline_Order_Date" caption="Order Date" level="2" selectionLevel="2" scrollPosition="2019-10-25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96" zoomScaleNormal="115" workbookViewId="0">
      <selection activeCell="Q6" sqref="Q6"/>
    </sheetView>
  </sheetViews>
  <sheetFormatPr defaultRowHeight="14.4" x14ac:dyDescent="0.3"/>
  <cols>
    <col min="1" max="1" width="16.5546875" bestFit="1" customWidth="1"/>
    <col min="2" max="2" width="12.33203125" bestFit="1" customWidth="1"/>
    <col min="3" max="3" width="17.44140625" bestFit="1" customWidth="1"/>
    <col min="4" max="4" width="12.109375" customWidth="1"/>
    <col min="5" max="5" width="10.5546875" customWidth="1"/>
    <col min="6" max="6" width="21.88671875" bestFit="1" customWidth="1"/>
    <col min="7" max="7" width="36" bestFit="1" customWidth="1"/>
    <col min="8" max="8" width="14.5546875" bestFit="1" customWidth="1"/>
    <col min="9" max="9" width="13.44140625" customWidth="1"/>
    <col min="10" max="10" width="12.5546875" customWidth="1"/>
    <col min="11" max="11" width="6.21875" style="5" customWidth="1"/>
    <col min="12" max="12" width="12.5546875" style="7" customWidth="1"/>
    <col min="13" max="13" width="9.21875" style="7" bestFit="1" customWidth="1"/>
    <col min="14" max="14" width="19.109375" customWidth="1"/>
    <col min="15" max="15" width="18.21875" customWidth="1"/>
    <col min="16" max="16" width="14.6640625" bestFit="1" customWidth="1"/>
  </cols>
  <sheetData>
    <row r="1" spans="1:16" x14ac:dyDescent="0.3">
      <c r="A1" s="2" t="s">
        <v>0</v>
      </c>
      <c r="B1" s="2" t="s">
        <v>1</v>
      </c>
      <c r="C1" s="2" t="s">
        <v>3</v>
      </c>
      <c r="D1" s="2" t="s">
        <v>11</v>
      </c>
      <c r="E1" s="2" t="s">
        <v>14</v>
      </c>
      <c r="F1" s="2" t="s">
        <v>4</v>
      </c>
      <c r="G1" s="2" t="s">
        <v>2</v>
      </c>
      <c r="H1" s="2" t="s">
        <v>7</v>
      </c>
      <c r="I1" s="2" t="s">
        <v>9</v>
      </c>
      <c r="J1" s="2" t="s">
        <v>10</v>
      </c>
      <c r="K1" s="4" t="s">
        <v>12</v>
      </c>
      <c r="L1" s="6" t="s">
        <v>13</v>
      </c>
      <c r="M1" s="6" t="s">
        <v>15</v>
      </c>
      <c r="N1" s="2" t="s">
        <v>6196</v>
      </c>
      <c r="O1" s="2" t="s">
        <v>6197</v>
      </c>
      <c r="P1" s="11" t="s">
        <v>6221</v>
      </c>
    </row>
    <row r="2" spans="1:16" x14ac:dyDescent="0.3">
      <c r="A2" s="2" t="s">
        <v>490</v>
      </c>
      <c r="B2" s="3">
        <v>43713</v>
      </c>
      <c r="C2" s="2" t="s">
        <v>491</v>
      </c>
      <c r="D2" t="s">
        <v>6138</v>
      </c>
      <c r="E2" s="2">
        <v>2</v>
      </c>
      <c r="F2" s="2" t="str">
        <f>_xlfn.XLOOKUP(C2,customers!$A$1:$A$1001,customers!$B$1:$B$1001,,0)</f>
        <v>Aloisia Allner</v>
      </c>
      <c r="G2" s="2" t="str">
        <f>IF(_xlfn.XLOOKUP(F2,customers!$B$1:$B$1001,customers!$C$1:$C$1001,,0)=0,"",_xlfn.XLOOKUP(F2,customers!$B$1:$B$1001,customers!$C$1:$C$1001,,0))</f>
        <v>aallner0@lulu.com</v>
      </c>
      <c r="H2" s="2" t="str">
        <f>_xlfn.XLOOKUP(C2,customers!$A$1:$A$1001,customers!$G$1:$G$1001,,0)</f>
        <v>United States</v>
      </c>
      <c r="I2" t="str">
        <f>_xlfn.XLOOKUP(D2,products!$A$1:$A$49,products!$B$1:$B$49,,0)</f>
        <v>Rob</v>
      </c>
      <c r="J2" t="str">
        <f>_xlfn.XLOOKUP(D2,products!$A$1:$A$49,products!$C$1:$C$49,,0)</f>
        <v>M</v>
      </c>
      <c r="K2" s="5">
        <f>_xlfn.XLOOKUP(D2,products!$A$1:$A$49,products!$D$1:$D$49,,0)</f>
        <v>1</v>
      </c>
      <c r="L2" s="7">
        <f>_xlfn.XLOOKUP(D2,products!$A$1:$A$49,products!$E$1:$E$49,,0)</f>
        <v>9.9499999999999993</v>
      </c>
      <c r="M2" s="7">
        <f>(L2*E2)</f>
        <v>19.899999999999999</v>
      </c>
      <c r="N2" t="str">
        <f>IF(I2="Rob","Robusta", 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IF(_xlfn.XLOOKUP(F3,customers!$B$1:$B$1001,customers!$C$1:$C$1001,,0)=0,"",_xlfn.XLOOKUP(F3,customers!$B$1:$B$1001,customers!$C$1:$C$1001,,0))</f>
        <v>aallner0@lulu.com</v>
      </c>
      <c r="H3" s="2" t="str">
        <f>_xlfn.XLOOKUP(C3,customers!$A$1:$A$1001,customers!$G$1:$G$1001,,0)</f>
        <v>United States</v>
      </c>
      <c r="I3" t="str">
        <f>_xlfn.XLOOKUP(D3,products!$A$1:$A$49,products!$B$1:$B$49,,0)</f>
        <v>Exc</v>
      </c>
      <c r="J3" t="str">
        <f>_xlfn.XLOOKUP(D3,products!$A$1:$A$49,products!$C$1:$C$49,,0)</f>
        <v>M</v>
      </c>
      <c r="K3" s="5">
        <f>_xlfn.XLOOKUP(D3,products!$A$1:$A$49,products!$D$1:$D$49,,0)</f>
        <v>0.5</v>
      </c>
      <c r="L3" s="7">
        <f>_xlfn.XLOOKUP(D3,products!$A$1:$A$49,products!$E$1:$E$49,,0)</f>
        <v>8.25</v>
      </c>
      <c r="M3" s="7">
        <f t="shared" ref="M3:M66" si="0">(L3*E3)</f>
        <v>41.25</v>
      </c>
      <c r="N3" t="str">
        <f t="shared" ref="N3:N66" si="1">IF(I3="Rob","Robusta", 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IF(_xlfn.XLOOKUP(F4,customers!$B$1:$B$1001,customers!$C$1:$C$1001,,0)=0,"",_xlfn.XLOOKUP(F4,customers!$B$1:$B$1001,customers!$C$1:$C$1001,,0))</f>
        <v>jredholes2@tmall.com</v>
      </c>
      <c r="H4" s="2" t="str">
        <f>_xlfn.XLOOKUP(C4,customers!$A$1:$A$1001,customers!$G$1:$G$1001,,0)</f>
        <v>United States</v>
      </c>
      <c r="I4" t="str">
        <f>_xlfn.XLOOKUP(D4,products!$A$1:$A$49,products!$B$1:$B$49,,0)</f>
        <v>Ara</v>
      </c>
      <c r="J4" t="str">
        <f>_xlfn.XLOOKUP(D4,products!$A$1:$A$49,products!$C$1:$C$49,,0)</f>
        <v>L</v>
      </c>
      <c r="K4" s="5">
        <f>_xlfn.XLOOKUP(D4,products!$A$1:$A$49,products!$D$1:$D$49,,0)</f>
        <v>1</v>
      </c>
      <c r="L4" s="7">
        <f>_xlfn.XLOOKUP(D4,products!$A$1:$A$49,products!$E$1:$E$49,,0)</f>
        <v>12.95</v>
      </c>
      <c r="M4" s="7">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IF(_xlfn.XLOOKUP(F5,customers!$B$1:$B$1001,customers!$C$1:$C$1001,,0)=0,"",_xlfn.XLOOKUP(F5,customers!$B$1:$B$1001,customers!$C$1:$C$1001,,0))</f>
        <v/>
      </c>
      <c r="H5" s="2" t="str">
        <f>_xlfn.XLOOKUP(C5,customers!$A$1:$A$1001,customers!$G$1:$G$1001,,0)</f>
        <v>Ireland</v>
      </c>
      <c r="I5" t="str">
        <f>_xlfn.XLOOKUP(D5,products!$A$1:$A$49,products!$B$1:$B$49,,0)</f>
        <v>Exc</v>
      </c>
      <c r="J5" t="str">
        <f>_xlfn.XLOOKUP(D5,products!$A$1:$A$49,products!$C$1:$C$49,,0)</f>
        <v>M</v>
      </c>
      <c r="K5" s="5">
        <f>_xlfn.XLOOKUP(D5,products!$A$1:$A$49,products!$D$1:$D$49,,0)</f>
        <v>1</v>
      </c>
      <c r="L5" s="7">
        <f>_xlfn.XLOOKUP(D5,products!$A$1:$A$49,products!$E$1:$E$49,,0)</f>
        <v>13.75</v>
      </c>
      <c r="M5" s="7">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IF(_xlfn.XLOOKUP(F6,customers!$B$1:$B$1001,customers!$C$1:$C$1001,,0)=0,"",_xlfn.XLOOKUP(F6,customers!$B$1:$B$1001,customers!$C$1:$C$1001,,0))</f>
        <v/>
      </c>
      <c r="H6" s="2" t="str">
        <f>_xlfn.XLOOKUP(C6,customers!$A$1:$A$1001,customers!$G$1:$G$1001,,0)</f>
        <v>Ireland</v>
      </c>
      <c r="I6" t="str">
        <f>_xlfn.XLOOKUP(D6,products!$A$1:$A$49,products!$B$1:$B$49,,0)</f>
        <v>Rob</v>
      </c>
      <c r="J6" t="str">
        <f>_xlfn.XLOOKUP(D6,products!$A$1:$A$49,products!$C$1:$C$49,,0)</f>
        <v>L</v>
      </c>
      <c r="K6" s="5">
        <f>_xlfn.XLOOKUP(D6,products!$A$1:$A$49,products!$D$1:$D$49,,0)</f>
        <v>2.5</v>
      </c>
      <c r="L6" s="7">
        <f>_xlfn.XLOOKUP(D6,products!$A$1:$A$49,products!$E$1:$E$49,,0)</f>
        <v>27.484999999999996</v>
      </c>
      <c r="M6" s="7">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IF(_xlfn.XLOOKUP(F7,customers!$B$1:$B$1001,customers!$C$1:$C$1001,,0)=0,"",_xlfn.XLOOKUP(F7,customers!$B$1:$B$1001,customers!$C$1:$C$1001,,0))</f>
        <v/>
      </c>
      <c r="H7" s="2" t="str">
        <f>_xlfn.XLOOKUP(C7,customers!$A$1:$A$1001,customers!$G$1:$G$1001,,0)</f>
        <v>United States</v>
      </c>
      <c r="I7" t="str">
        <f>_xlfn.XLOOKUP(D7,products!$A$1:$A$49,products!$B$1:$B$49,,0)</f>
        <v>Lib</v>
      </c>
      <c r="J7" t="str">
        <f>_xlfn.XLOOKUP(D7,products!$A$1:$A$49,products!$C$1:$C$49,,0)</f>
        <v>D</v>
      </c>
      <c r="K7" s="5">
        <f>_xlfn.XLOOKUP(D7,products!$A$1:$A$49,products!$D$1:$D$49,,0)</f>
        <v>1</v>
      </c>
      <c r="L7" s="7">
        <f>_xlfn.XLOOKUP(D7,products!$A$1:$A$49,products!$E$1:$E$49,,0)</f>
        <v>12.95</v>
      </c>
      <c r="M7" s="7">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IF(_xlfn.XLOOKUP(F8,customers!$B$1:$B$1001,customers!$C$1:$C$1001,,0)=0,"",_xlfn.XLOOKUP(F8,customers!$B$1:$B$1001,customers!$C$1:$C$1001,,0))</f>
        <v>slobe6@nifty.com</v>
      </c>
      <c r="H8" s="2" t="str">
        <f>_xlfn.XLOOKUP(C8,customers!$A$1:$A$1001,customers!$G$1:$G$1001,,0)</f>
        <v>United States</v>
      </c>
      <c r="I8" t="str">
        <f>_xlfn.XLOOKUP(D8,products!$A$1:$A$49,products!$B$1:$B$49,,0)</f>
        <v>Exc</v>
      </c>
      <c r="J8" t="str">
        <f>_xlfn.XLOOKUP(D8,products!$A$1:$A$49,products!$C$1:$C$49,,0)</f>
        <v>D</v>
      </c>
      <c r="K8" s="5">
        <f>_xlfn.XLOOKUP(D8,products!$A$1:$A$49,products!$D$1:$D$49,,0)</f>
        <v>0.5</v>
      </c>
      <c r="L8" s="7">
        <f>_xlfn.XLOOKUP(D8,products!$A$1:$A$49,products!$E$1:$E$49,,0)</f>
        <v>7.29</v>
      </c>
      <c r="M8" s="7">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IF(_xlfn.XLOOKUP(F9,customers!$B$1:$B$1001,customers!$C$1:$C$1001,,0)=0,"",_xlfn.XLOOKUP(F9,customers!$B$1:$B$1001,customers!$C$1:$C$1001,,0))</f>
        <v/>
      </c>
      <c r="H9" s="2" t="str">
        <f>_xlfn.XLOOKUP(C9,customers!$A$1:$A$1001,customers!$G$1:$G$1001,,0)</f>
        <v>Ireland</v>
      </c>
      <c r="I9" t="str">
        <f>_xlfn.XLOOKUP(D9,products!$A$1:$A$49,products!$B$1:$B$49,,0)</f>
        <v>Lib</v>
      </c>
      <c r="J9" t="str">
        <f>_xlfn.XLOOKUP(D9,products!$A$1:$A$49,products!$C$1:$C$49,,0)</f>
        <v>L</v>
      </c>
      <c r="K9" s="5">
        <f>_xlfn.XLOOKUP(D9,products!$A$1:$A$49,products!$D$1:$D$49,,0)</f>
        <v>0.2</v>
      </c>
      <c r="L9" s="7">
        <f>_xlfn.XLOOKUP(D9,products!$A$1:$A$49,products!$E$1:$E$49,,0)</f>
        <v>4.7549999999999999</v>
      </c>
      <c r="M9" s="7">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IF(_xlfn.XLOOKUP(F10,customers!$B$1:$B$1001,customers!$C$1:$C$1001,,0)=0,"",_xlfn.XLOOKUP(F10,customers!$B$1:$B$1001,customers!$C$1:$C$1001,,0))</f>
        <v>gpetracci8@livejournal.com</v>
      </c>
      <c r="H10" s="2" t="str">
        <f>_xlfn.XLOOKUP(C10,customers!$A$1:$A$1001,customers!$G$1:$G$1001,,0)</f>
        <v>United States</v>
      </c>
      <c r="I10" t="str">
        <f>_xlfn.XLOOKUP(D10,products!$A$1:$A$49,products!$B$1:$B$49,,0)</f>
        <v>Rob</v>
      </c>
      <c r="J10" t="str">
        <f>_xlfn.XLOOKUP(D10,products!$A$1:$A$49,products!$C$1:$C$49,,0)</f>
        <v>M</v>
      </c>
      <c r="K10" s="5">
        <f>_xlfn.XLOOKUP(D10,products!$A$1:$A$49,products!$D$1:$D$49,,0)</f>
        <v>0.5</v>
      </c>
      <c r="L10" s="7">
        <f>_xlfn.XLOOKUP(D10,products!$A$1:$A$49,products!$E$1:$E$49,,0)</f>
        <v>5.97</v>
      </c>
      <c r="M10" s="7">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IF(_xlfn.XLOOKUP(F11,customers!$B$1:$B$1001,customers!$C$1:$C$1001,,0)=0,"",_xlfn.XLOOKUP(F11,customers!$B$1:$B$1001,customers!$C$1:$C$1001,,0))</f>
        <v>rraven9@ed.gov</v>
      </c>
      <c r="H11" s="2" t="str">
        <f>_xlfn.XLOOKUP(C11,customers!$A$1:$A$1001,customers!$G$1:$G$1001,,0)</f>
        <v>United States</v>
      </c>
      <c r="I11" t="str">
        <f>_xlfn.XLOOKUP(D11,products!$A$1:$A$49,products!$B$1:$B$49,,0)</f>
        <v>Rob</v>
      </c>
      <c r="J11" t="str">
        <f>_xlfn.XLOOKUP(D11,products!$A$1:$A$49,products!$C$1:$C$49,,0)</f>
        <v>M</v>
      </c>
      <c r="K11" s="5">
        <f>_xlfn.XLOOKUP(D11,products!$A$1:$A$49,products!$D$1:$D$49,,0)</f>
        <v>0.5</v>
      </c>
      <c r="L11" s="7">
        <f>_xlfn.XLOOKUP(D11,products!$A$1:$A$49,products!$E$1:$E$49,,0)</f>
        <v>5.97</v>
      </c>
      <c r="M11" s="7">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IF(_xlfn.XLOOKUP(F12,customers!$B$1:$B$1001,customers!$C$1:$C$1001,,0)=0,"",_xlfn.XLOOKUP(F12,customers!$B$1:$B$1001,customers!$C$1:$C$1001,,0))</f>
        <v>fferbera@businesswire.com</v>
      </c>
      <c r="H12" s="2" t="str">
        <f>_xlfn.XLOOKUP(C12,customers!$A$1:$A$1001,customers!$G$1:$G$1001,,0)</f>
        <v>United States</v>
      </c>
      <c r="I12" t="str">
        <f>_xlfn.XLOOKUP(D12,products!$A$1:$A$49,products!$B$1:$B$49,,0)</f>
        <v>Ara</v>
      </c>
      <c r="J12" t="str">
        <f>_xlfn.XLOOKUP(D12,products!$A$1:$A$49,products!$C$1:$C$49,,0)</f>
        <v>D</v>
      </c>
      <c r="K12" s="5">
        <f>_xlfn.XLOOKUP(D12,products!$A$1:$A$49,products!$D$1:$D$49,,0)</f>
        <v>1</v>
      </c>
      <c r="L12" s="7">
        <f>_xlfn.XLOOKUP(D12,products!$A$1:$A$49,products!$E$1:$E$49,,0)</f>
        <v>9.9499999999999993</v>
      </c>
      <c r="M12" s="7">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IF(_xlfn.XLOOKUP(F13,customers!$B$1:$B$1001,customers!$C$1:$C$1001,,0)=0,"",_xlfn.XLOOKUP(F13,customers!$B$1:$B$1001,customers!$C$1:$C$1001,,0))</f>
        <v>dphizackerlyb@utexas.edu</v>
      </c>
      <c r="H13" s="2" t="str">
        <f>_xlfn.XLOOKUP(C13,customers!$A$1:$A$1001,customers!$G$1:$G$1001,,0)</f>
        <v>United States</v>
      </c>
      <c r="I13" t="str">
        <f>_xlfn.XLOOKUP(D13,products!$A$1:$A$49,products!$B$1:$B$49,,0)</f>
        <v>Exc</v>
      </c>
      <c r="J13" t="str">
        <f>_xlfn.XLOOKUP(D13,products!$A$1:$A$49,products!$C$1:$C$49,,0)</f>
        <v>L</v>
      </c>
      <c r="K13" s="5">
        <f>_xlfn.XLOOKUP(D13,products!$A$1:$A$49,products!$D$1:$D$49,,0)</f>
        <v>2.5</v>
      </c>
      <c r="L13" s="7">
        <f>_xlfn.XLOOKUP(D13,products!$A$1:$A$49,products!$E$1:$E$49,,0)</f>
        <v>34.154999999999994</v>
      </c>
      <c r="M13" s="7">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IF(_xlfn.XLOOKUP(F14,customers!$B$1:$B$1001,customers!$C$1:$C$1001,,0)=0,"",_xlfn.XLOOKUP(F14,customers!$B$1:$B$1001,customers!$C$1:$C$1001,,0))</f>
        <v>rscholarc@nyu.edu</v>
      </c>
      <c r="H14" s="2" t="str">
        <f>_xlfn.XLOOKUP(C14,customers!$A$1:$A$1001,customers!$G$1:$G$1001,,0)</f>
        <v>United States</v>
      </c>
      <c r="I14" t="str">
        <f>_xlfn.XLOOKUP(D14,products!$A$1:$A$49,products!$B$1:$B$49,,0)</f>
        <v>Rob</v>
      </c>
      <c r="J14" t="str">
        <f>_xlfn.XLOOKUP(D14,products!$A$1:$A$49,products!$C$1:$C$49,,0)</f>
        <v>M</v>
      </c>
      <c r="K14" s="5">
        <f>_xlfn.XLOOKUP(D14,products!$A$1:$A$49,products!$D$1:$D$49,,0)</f>
        <v>1</v>
      </c>
      <c r="L14" s="7">
        <f>_xlfn.XLOOKUP(D14,products!$A$1:$A$49,products!$E$1:$E$49,,0)</f>
        <v>9.9499999999999993</v>
      </c>
      <c r="M14" s="7">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IF(_xlfn.XLOOKUP(F15,customers!$B$1:$B$1001,customers!$C$1:$C$1001,,0)=0,"",_xlfn.XLOOKUP(F15,customers!$B$1:$B$1001,customers!$C$1:$C$1001,,0))</f>
        <v>tvanyutind@wix.com</v>
      </c>
      <c r="H15" s="2" t="str">
        <f>_xlfn.XLOOKUP(C15,customers!$A$1:$A$1001,customers!$G$1:$G$1001,,0)</f>
        <v>United States</v>
      </c>
      <c r="I15" t="str">
        <f>_xlfn.XLOOKUP(D15,products!$A$1:$A$49,products!$B$1:$B$49,,0)</f>
        <v>Rob</v>
      </c>
      <c r="J15" t="str">
        <f>_xlfn.XLOOKUP(D15,products!$A$1:$A$49,products!$C$1:$C$49,,0)</f>
        <v>D</v>
      </c>
      <c r="K15" s="5">
        <f>_xlfn.XLOOKUP(D15,products!$A$1:$A$49,products!$D$1:$D$49,,0)</f>
        <v>2.5</v>
      </c>
      <c r="L15" s="7">
        <f>_xlfn.XLOOKUP(D15,products!$A$1:$A$49,products!$E$1:$E$49,,0)</f>
        <v>20.584999999999997</v>
      </c>
      <c r="M15" s="7">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IF(_xlfn.XLOOKUP(F16,customers!$B$1:$B$1001,customers!$C$1:$C$1001,,0)=0,"",_xlfn.XLOOKUP(F16,customers!$B$1:$B$1001,customers!$C$1:$C$1001,,0))</f>
        <v>ptrobee@wunderground.com</v>
      </c>
      <c r="H16" s="2" t="str">
        <f>_xlfn.XLOOKUP(C16,customers!$A$1:$A$1001,customers!$G$1:$G$1001,,0)</f>
        <v>United States</v>
      </c>
      <c r="I16" t="str">
        <f>_xlfn.XLOOKUP(D16,products!$A$1:$A$49,products!$B$1:$B$49,,0)</f>
        <v>Lib</v>
      </c>
      <c r="J16" t="str">
        <f>_xlfn.XLOOKUP(D16,products!$A$1:$A$49,products!$C$1:$C$49,,0)</f>
        <v>D</v>
      </c>
      <c r="K16" s="5">
        <f>_xlfn.XLOOKUP(D16,products!$A$1:$A$49,products!$D$1:$D$49,,0)</f>
        <v>0.2</v>
      </c>
      <c r="L16" s="7">
        <f>_xlfn.XLOOKUP(D16,products!$A$1:$A$49,products!$E$1:$E$49,,0)</f>
        <v>3.8849999999999998</v>
      </c>
      <c r="M16" s="7">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IF(_xlfn.XLOOKUP(F17,customers!$B$1:$B$1001,customers!$C$1:$C$1001,,0)=0,"",_xlfn.XLOOKUP(F17,customers!$B$1:$B$1001,customers!$C$1:$C$1001,,0))</f>
        <v>loscroftf@ebay.co.uk</v>
      </c>
      <c r="H17" s="2" t="str">
        <f>_xlfn.XLOOKUP(C17,customers!$A$1:$A$1001,customers!$G$1:$G$1001,,0)</f>
        <v>United States</v>
      </c>
      <c r="I17" t="str">
        <f>_xlfn.XLOOKUP(D17,products!$A$1:$A$49,products!$B$1:$B$49,,0)</f>
        <v>Rob</v>
      </c>
      <c r="J17" t="str">
        <f>_xlfn.XLOOKUP(D17,products!$A$1:$A$49,products!$C$1:$C$49,,0)</f>
        <v>M</v>
      </c>
      <c r="K17" s="5">
        <f>_xlfn.XLOOKUP(D17,products!$A$1:$A$49,products!$D$1:$D$49,,0)</f>
        <v>2.5</v>
      </c>
      <c r="L17" s="7">
        <f>_xlfn.XLOOKUP(D17,products!$A$1:$A$49,products!$E$1:$E$49,,0)</f>
        <v>22.884999999999998</v>
      </c>
      <c r="M17" s="7">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IF(_xlfn.XLOOKUP(F18,customers!$B$1:$B$1001,customers!$C$1:$C$1001,,0)=0,"",_xlfn.XLOOKUP(F18,customers!$B$1:$B$1001,customers!$C$1:$C$1001,,0))</f>
        <v>malabasterg@hexun.com</v>
      </c>
      <c r="H18" s="2" t="str">
        <f>_xlfn.XLOOKUP(C18,customers!$A$1:$A$1001,customers!$G$1:$G$1001,,0)</f>
        <v>United States</v>
      </c>
      <c r="I18" t="str">
        <f>_xlfn.XLOOKUP(D18,products!$A$1:$A$49,products!$B$1:$B$49,,0)</f>
        <v>Ara</v>
      </c>
      <c r="J18" t="str">
        <f>_xlfn.XLOOKUP(D18,products!$A$1:$A$49,products!$C$1:$C$49,,0)</f>
        <v>M</v>
      </c>
      <c r="K18" s="5">
        <f>_xlfn.XLOOKUP(D18,products!$A$1:$A$49,products!$D$1:$D$49,,0)</f>
        <v>0.2</v>
      </c>
      <c r="L18" s="7">
        <f>_xlfn.XLOOKUP(D18,products!$A$1:$A$49,products!$E$1:$E$49,,0)</f>
        <v>3.375</v>
      </c>
      <c r="M18" s="7">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IF(_xlfn.XLOOKUP(F19,customers!$B$1:$B$1001,customers!$C$1:$C$1001,,0)=0,"",_xlfn.XLOOKUP(F19,customers!$B$1:$B$1001,customers!$C$1:$C$1001,,0))</f>
        <v>rbroxuph@jimdo.com</v>
      </c>
      <c r="H19" s="2" t="str">
        <f>_xlfn.XLOOKUP(C19,customers!$A$1:$A$1001,customers!$G$1:$G$1001,,0)</f>
        <v>United States</v>
      </c>
      <c r="I19" t="str">
        <f>_xlfn.XLOOKUP(D19,products!$A$1:$A$49,products!$B$1:$B$49,,0)</f>
        <v>Ara</v>
      </c>
      <c r="J19" t="str">
        <f>_xlfn.XLOOKUP(D19,products!$A$1:$A$49,products!$C$1:$C$49,,0)</f>
        <v>L</v>
      </c>
      <c r="K19" s="5">
        <f>_xlfn.XLOOKUP(D19,products!$A$1:$A$49,products!$D$1:$D$49,,0)</f>
        <v>1</v>
      </c>
      <c r="L19" s="7">
        <f>_xlfn.XLOOKUP(D19,products!$A$1:$A$49,products!$E$1:$E$49,,0)</f>
        <v>12.95</v>
      </c>
      <c r="M19" s="7">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IF(_xlfn.XLOOKUP(F20,customers!$B$1:$B$1001,customers!$C$1:$C$1001,,0)=0,"",_xlfn.XLOOKUP(F20,customers!$B$1:$B$1001,customers!$C$1:$C$1001,,0))</f>
        <v>predfordi@ow.ly</v>
      </c>
      <c r="H20" s="2" t="str">
        <f>_xlfn.XLOOKUP(C20,customers!$A$1:$A$1001,customers!$G$1:$G$1001,,0)</f>
        <v>Ireland</v>
      </c>
      <c r="I20" t="str">
        <f>_xlfn.XLOOKUP(D20,products!$A$1:$A$49,products!$B$1:$B$49,,0)</f>
        <v>Rob</v>
      </c>
      <c r="J20" t="str">
        <f>_xlfn.XLOOKUP(D20,products!$A$1:$A$49,products!$C$1:$C$49,,0)</f>
        <v>D</v>
      </c>
      <c r="K20" s="5">
        <f>_xlfn.XLOOKUP(D20,products!$A$1:$A$49,products!$D$1:$D$49,,0)</f>
        <v>2.5</v>
      </c>
      <c r="L20" s="7">
        <f>_xlfn.XLOOKUP(D20,products!$A$1:$A$49,products!$E$1:$E$49,,0)</f>
        <v>20.584999999999997</v>
      </c>
      <c r="M20" s="7">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IF(_xlfn.XLOOKUP(F21,customers!$B$1:$B$1001,customers!$C$1:$C$1001,,0)=0,"",_xlfn.XLOOKUP(F21,customers!$B$1:$B$1001,customers!$C$1:$C$1001,,0))</f>
        <v>acorradinoj@harvard.edu</v>
      </c>
      <c r="H21" s="2" t="str">
        <f>_xlfn.XLOOKUP(C21,customers!$A$1:$A$1001,customers!$G$1:$G$1001,,0)</f>
        <v>United States</v>
      </c>
      <c r="I21" t="str">
        <f>_xlfn.XLOOKUP(D21,products!$A$1:$A$49,products!$B$1:$B$49,,0)</f>
        <v>Ara</v>
      </c>
      <c r="J21" t="str">
        <f>_xlfn.XLOOKUP(D21,products!$A$1:$A$49,products!$C$1:$C$49,,0)</f>
        <v>M</v>
      </c>
      <c r="K21" s="5">
        <f>_xlfn.XLOOKUP(D21,products!$A$1:$A$49,products!$D$1:$D$49,,0)</f>
        <v>0.2</v>
      </c>
      <c r="L21" s="7">
        <f>_xlfn.XLOOKUP(D21,products!$A$1:$A$49,products!$E$1:$E$49,,0)</f>
        <v>3.375</v>
      </c>
      <c r="M21" s="7">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IF(_xlfn.XLOOKUP(F22,customers!$B$1:$B$1001,customers!$C$1:$C$1001,,0)=0,"",_xlfn.XLOOKUP(F22,customers!$B$1:$B$1001,customers!$C$1:$C$1001,,0))</f>
        <v>acorradinoj@harvard.edu</v>
      </c>
      <c r="H22" s="2" t="str">
        <f>_xlfn.XLOOKUP(C22,customers!$A$1:$A$1001,customers!$G$1:$G$1001,,0)</f>
        <v>United States</v>
      </c>
      <c r="I22" t="str">
        <f>_xlfn.XLOOKUP(D22,products!$A$1:$A$49,products!$B$1:$B$49,,0)</f>
        <v>Exc</v>
      </c>
      <c r="J22" t="str">
        <f>_xlfn.XLOOKUP(D22,products!$A$1:$A$49,products!$C$1:$C$49,,0)</f>
        <v>D</v>
      </c>
      <c r="K22" s="5">
        <f>_xlfn.XLOOKUP(D22,products!$A$1:$A$49,products!$D$1:$D$49,,0)</f>
        <v>0.2</v>
      </c>
      <c r="L22" s="7">
        <f>_xlfn.XLOOKUP(D22,products!$A$1:$A$49,products!$E$1:$E$49,,0)</f>
        <v>3.645</v>
      </c>
      <c r="M22" s="7">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IF(_xlfn.XLOOKUP(F23,customers!$B$1:$B$1001,customers!$C$1:$C$1001,,0)=0,"",_xlfn.XLOOKUP(F23,customers!$B$1:$B$1001,customers!$C$1:$C$1001,,0))</f>
        <v>adavidowskyl@netvibes.com</v>
      </c>
      <c r="H23" s="2" t="str">
        <f>_xlfn.XLOOKUP(C23,customers!$A$1:$A$1001,customers!$G$1:$G$1001,,0)</f>
        <v>United States</v>
      </c>
      <c r="I23" t="str">
        <f>_xlfn.XLOOKUP(D23,products!$A$1:$A$49,products!$B$1:$B$49,,0)</f>
        <v>Ara</v>
      </c>
      <c r="J23" t="str">
        <f>_xlfn.XLOOKUP(D23,products!$A$1:$A$49,products!$C$1:$C$49,,0)</f>
        <v>D</v>
      </c>
      <c r="K23" s="5">
        <f>_xlfn.XLOOKUP(D23,products!$A$1:$A$49,products!$D$1:$D$49,,0)</f>
        <v>0.2</v>
      </c>
      <c r="L23" s="7">
        <f>_xlfn.XLOOKUP(D23,products!$A$1:$A$49,products!$E$1:$E$49,,0)</f>
        <v>2.9849999999999999</v>
      </c>
      <c r="M23" s="7">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IF(_xlfn.XLOOKUP(F24,customers!$B$1:$B$1001,customers!$C$1:$C$1001,,0)=0,"",_xlfn.XLOOKUP(F24,customers!$B$1:$B$1001,customers!$C$1:$C$1001,,0))</f>
        <v>aantukm@kickstarter.com</v>
      </c>
      <c r="H24" s="2" t="str">
        <f>_xlfn.XLOOKUP(C24,customers!$A$1:$A$1001,customers!$G$1:$G$1001,,0)</f>
        <v>United States</v>
      </c>
      <c r="I24" t="str">
        <f>_xlfn.XLOOKUP(D24,products!$A$1:$A$49,products!$B$1:$B$49,,0)</f>
        <v>Rob</v>
      </c>
      <c r="J24" t="str">
        <f>_xlfn.XLOOKUP(D24,products!$A$1:$A$49,products!$C$1:$C$49,,0)</f>
        <v>M</v>
      </c>
      <c r="K24" s="5">
        <f>_xlfn.XLOOKUP(D24,products!$A$1:$A$49,products!$D$1:$D$49,,0)</f>
        <v>2.5</v>
      </c>
      <c r="L24" s="7">
        <f>_xlfn.XLOOKUP(D24,products!$A$1:$A$49,products!$E$1:$E$49,,0)</f>
        <v>22.884999999999998</v>
      </c>
      <c r="M24" s="7">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IF(_xlfn.XLOOKUP(F25,customers!$B$1:$B$1001,customers!$C$1:$C$1001,,0)=0,"",_xlfn.XLOOKUP(F25,customers!$B$1:$B$1001,customers!$C$1:$C$1001,,0))</f>
        <v>ikleinertn@timesonline.co.uk</v>
      </c>
      <c r="H25" s="2" t="str">
        <f>_xlfn.XLOOKUP(C25,customers!$A$1:$A$1001,customers!$G$1:$G$1001,,0)</f>
        <v>United States</v>
      </c>
      <c r="I25" t="str">
        <f>_xlfn.XLOOKUP(D25,products!$A$1:$A$49,products!$B$1:$B$49,,0)</f>
        <v>Ara</v>
      </c>
      <c r="J25" t="str">
        <f>_xlfn.XLOOKUP(D25,products!$A$1:$A$49,products!$C$1:$C$49,,0)</f>
        <v>D</v>
      </c>
      <c r="K25" s="5">
        <f>_xlfn.XLOOKUP(D25,products!$A$1:$A$49,products!$D$1:$D$49,,0)</f>
        <v>0.2</v>
      </c>
      <c r="L25" s="7">
        <f>_xlfn.XLOOKUP(D25,products!$A$1:$A$49,products!$E$1:$E$49,,0)</f>
        <v>2.9849999999999999</v>
      </c>
      <c r="M25" s="7">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IF(_xlfn.XLOOKUP(F26,customers!$B$1:$B$1001,customers!$C$1:$C$1001,,0)=0,"",_xlfn.XLOOKUP(F26,customers!$B$1:$B$1001,customers!$C$1:$C$1001,,0))</f>
        <v>cblofeldo@amazon.co.uk</v>
      </c>
      <c r="H26" s="2" t="str">
        <f>_xlfn.XLOOKUP(C26,customers!$A$1:$A$1001,customers!$G$1:$G$1001,,0)</f>
        <v>United States</v>
      </c>
      <c r="I26" t="str">
        <f>_xlfn.XLOOKUP(D26,products!$A$1:$A$49,products!$B$1:$B$49,,0)</f>
        <v>Ara</v>
      </c>
      <c r="J26" t="str">
        <f>_xlfn.XLOOKUP(D26,products!$A$1:$A$49,products!$C$1:$C$49,,0)</f>
        <v>M</v>
      </c>
      <c r="K26" s="5">
        <f>_xlfn.XLOOKUP(D26,products!$A$1:$A$49,products!$D$1:$D$49,,0)</f>
        <v>1</v>
      </c>
      <c r="L26" s="7">
        <f>_xlfn.XLOOKUP(D26,products!$A$1:$A$49,products!$E$1:$E$49,,0)</f>
        <v>11.25</v>
      </c>
      <c r="M26" s="7">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IF(_xlfn.XLOOKUP(F27,customers!$B$1:$B$1001,customers!$C$1:$C$1001,,0)=0,"",_xlfn.XLOOKUP(F27,customers!$B$1:$B$1001,customers!$C$1:$C$1001,,0))</f>
        <v/>
      </c>
      <c r="H27" s="2" t="str">
        <f>_xlfn.XLOOKUP(C27,customers!$A$1:$A$1001,customers!$G$1:$G$1001,,0)</f>
        <v>United States</v>
      </c>
      <c r="I27" t="str">
        <f>_xlfn.XLOOKUP(D27,products!$A$1:$A$49,products!$B$1:$B$49,,0)</f>
        <v>Exc</v>
      </c>
      <c r="J27" t="str">
        <f>_xlfn.XLOOKUP(D27,products!$A$1:$A$49,products!$C$1:$C$49,,0)</f>
        <v>M</v>
      </c>
      <c r="K27" s="5">
        <f>_xlfn.XLOOKUP(D27,products!$A$1:$A$49,products!$D$1:$D$49,,0)</f>
        <v>0.2</v>
      </c>
      <c r="L27" s="7">
        <f>_xlfn.XLOOKUP(D27,products!$A$1:$A$49,products!$E$1:$E$49,,0)</f>
        <v>4.125</v>
      </c>
      <c r="M27" s="7">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IF(_xlfn.XLOOKUP(F28,customers!$B$1:$B$1001,customers!$C$1:$C$1001,,0)=0,"",_xlfn.XLOOKUP(F28,customers!$B$1:$B$1001,customers!$C$1:$C$1001,,0))</f>
        <v>sshalesq@umich.edu</v>
      </c>
      <c r="H28" s="2" t="str">
        <f>_xlfn.XLOOKUP(C28,customers!$A$1:$A$1001,customers!$G$1:$G$1001,,0)</f>
        <v>United States</v>
      </c>
      <c r="I28" t="str">
        <f>_xlfn.XLOOKUP(D28,products!$A$1:$A$49,products!$B$1:$B$49,,0)</f>
        <v>Ara</v>
      </c>
      <c r="J28" t="str">
        <f>_xlfn.XLOOKUP(D28,products!$A$1:$A$49,products!$C$1:$C$49,,0)</f>
        <v>M</v>
      </c>
      <c r="K28" s="5">
        <f>_xlfn.XLOOKUP(D28,products!$A$1:$A$49,products!$D$1:$D$49,,0)</f>
        <v>0.5</v>
      </c>
      <c r="L28" s="7">
        <f>_xlfn.XLOOKUP(D28,products!$A$1:$A$49,products!$E$1:$E$49,,0)</f>
        <v>6.75</v>
      </c>
      <c r="M28" s="7">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IF(_xlfn.XLOOKUP(F29,customers!$B$1:$B$1001,customers!$C$1:$C$1001,,0)=0,"",_xlfn.XLOOKUP(F29,customers!$B$1:$B$1001,customers!$C$1:$C$1001,,0))</f>
        <v>vdanneilr@mtv.com</v>
      </c>
      <c r="H29" s="2" t="str">
        <f>_xlfn.XLOOKUP(C29,customers!$A$1:$A$1001,customers!$G$1:$G$1001,,0)</f>
        <v>Ireland</v>
      </c>
      <c r="I29" t="str">
        <f>_xlfn.XLOOKUP(D29,products!$A$1:$A$49,products!$B$1:$B$49,,0)</f>
        <v>Ara</v>
      </c>
      <c r="J29" t="str">
        <f>_xlfn.XLOOKUP(D29,products!$A$1:$A$49,products!$C$1:$C$49,,0)</f>
        <v>M</v>
      </c>
      <c r="K29" s="5">
        <f>_xlfn.XLOOKUP(D29,products!$A$1:$A$49,products!$D$1:$D$49,,0)</f>
        <v>0.2</v>
      </c>
      <c r="L29" s="7">
        <f>_xlfn.XLOOKUP(D29,products!$A$1:$A$49,products!$E$1:$E$49,,0)</f>
        <v>3.375</v>
      </c>
      <c r="M29" s="7">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IF(_xlfn.XLOOKUP(F30,customers!$B$1:$B$1001,customers!$C$1:$C$1001,,0)=0,"",_xlfn.XLOOKUP(F30,customers!$B$1:$B$1001,customers!$C$1:$C$1001,,0))</f>
        <v>tnewburys@usda.gov</v>
      </c>
      <c r="H30" s="2" t="str">
        <f>_xlfn.XLOOKUP(C30,customers!$A$1:$A$1001,customers!$G$1:$G$1001,,0)</f>
        <v>Ireland</v>
      </c>
      <c r="I30" t="str">
        <f>_xlfn.XLOOKUP(D30,products!$A$1:$A$49,products!$B$1:$B$49,,0)</f>
        <v>Ara</v>
      </c>
      <c r="J30" t="str">
        <f>_xlfn.XLOOKUP(D30,products!$A$1:$A$49,products!$C$1:$C$49,,0)</f>
        <v>D</v>
      </c>
      <c r="K30" s="5">
        <f>_xlfn.XLOOKUP(D30,products!$A$1:$A$49,products!$D$1:$D$49,,0)</f>
        <v>0.5</v>
      </c>
      <c r="L30" s="7">
        <f>_xlfn.XLOOKUP(D30,products!$A$1:$A$49,products!$E$1:$E$49,,0)</f>
        <v>5.97</v>
      </c>
      <c r="M30" s="7">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IF(_xlfn.XLOOKUP(F31,customers!$B$1:$B$1001,customers!$C$1:$C$1001,,0)=0,"",_xlfn.XLOOKUP(F31,customers!$B$1:$B$1001,customers!$C$1:$C$1001,,0))</f>
        <v>mcalcuttt@baidu.com</v>
      </c>
      <c r="H31" s="2" t="str">
        <f>_xlfn.XLOOKUP(C31,customers!$A$1:$A$1001,customers!$G$1:$G$1001,,0)</f>
        <v>Ireland</v>
      </c>
      <c r="I31" t="str">
        <f>_xlfn.XLOOKUP(D31,products!$A$1:$A$49,products!$B$1:$B$49,,0)</f>
        <v>Ara</v>
      </c>
      <c r="J31" t="str">
        <f>_xlfn.XLOOKUP(D31,products!$A$1:$A$49,products!$C$1:$C$49,,0)</f>
        <v>D</v>
      </c>
      <c r="K31" s="5">
        <f>_xlfn.XLOOKUP(D31,products!$A$1:$A$49,products!$D$1:$D$49,,0)</f>
        <v>1</v>
      </c>
      <c r="L31" s="7">
        <f>_xlfn.XLOOKUP(D31,products!$A$1:$A$49,products!$E$1:$E$49,,0)</f>
        <v>9.9499999999999993</v>
      </c>
      <c r="M31" s="7">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IF(_xlfn.XLOOKUP(F32,customers!$B$1:$B$1001,customers!$C$1:$C$1001,,0)=0,"",_xlfn.XLOOKUP(F32,customers!$B$1:$B$1001,customers!$C$1:$C$1001,,0))</f>
        <v/>
      </c>
      <c r="H32" s="2" t="str">
        <f>_xlfn.XLOOKUP(C32,customers!$A$1:$A$1001,customers!$G$1:$G$1001,,0)</f>
        <v>United States</v>
      </c>
      <c r="I32" t="str">
        <f>_xlfn.XLOOKUP(D32,products!$A$1:$A$49,products!$B$1:$B$49,,0)</f>
        <v>Lib</v>
      </c>
      <c r="J32" t="str">
        <f>_xlfn.XLOOKUP(D32,products!$A$1:$A$49,products!$C$1:$C$49,,0)</f>
        <v>M</v>
      </c>
      <c r="K32" s="5">
        <f>_xlfn.XLOOKUP(D32,products!$A$1:$A$49,products!$D$1:$D$49,,0)</f>
        <v>0.2</v>
      </c>
      <c r="L32" s="7">
        <f>_xlfn.XLOOKUP(D32,products!$A$1:$A$49,products!$E$1:$E$49,,0)</f>
        <v>4.3650000000000002</v>
      </c>
      <c r="M32" s="7">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IF(_xlfn.XLOOKUP(F33,customers!$B$1:$B$1001,customers!$C$1:$C$1001,,0)=0,"",_xlfn.XLOOKUP(F33,customers!$B$1:$B$1001,customers!$C$1:$C$1001,,0))</f>
        <v/>
      </c>
      <c r="H33" s="2" t="str">
        <f>_xlfn.XLOOKUP(C33,customers!$A$1:$A$1001,customers!$G$1:$G$1001,,0)</f>
        <v>United States</v>
      </c>
      <c r="I33" t="str">
        <f>_xlfn.XLOOKUP(D33,products!$A$1:$A$49,products!$B$1:$B$49,,0)</f>
        <v>Ara</v>
      </c>
      <c r="J33" t="str">
        <f>_xlfn.XLOOKUP(D33,products!$A$1:$A$49,products!$C$1:$C$49,,0)</f>
        <v>D</v>
      </c>
      <c r="K33" s="5">
        <f>_xlfn.XLOOKUP(D33,products!$A$1:$A$49,products!$D$1:$D$49,,0)</f>
        <v>0.5</v>
      </c>
      <c r="L33" s="7">
        <f>_xlfn.XLOOKUP(D33,products!$A$1:$A$49,products!$E$1:$E$49,,0)</f>
        <v>5.97</v>
      </c>
      <c r="M33" s="7">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IF(_xlfn.XLOOKUP(F34,customers!$B$1:$B$1001,customers!$C$1:$C$1001,,0)=0,"",_xlfn.XLOOKUP(F34,customers!$B$1:$B$1001,customers!$C$1:$C$1001,,0))</f>
        <v/>
      </c>
      <c r="H34" s="2" t="str">
        <f>_xlfn.XLOOKUP(C34,customers!$A$1:$A$1001,customers!$G$1:$G$1001,,0)</f>
        <v>United States</v>
      </c>
      <c r="I34" t="str">
        <f>_xlfn.XLOOKUP(D34,products!$A$1:$A$49,products!$B$1:$B$49,,0)</f>
        <v>Lib</v>
      </c>
      <c r="J34" t="str">
        <f>_xlfn.XLOOKUP(D34,products!$A$1:$A$49,products!$C$1:$C$49,,0)</f>
        <v>M</v>
      </c>
      <c r="K34" s="5">
        <f>_xlfn.XLOOKUP(D34,products!$A$1:$A$49,products!$D$1:$D$49,,0)</f>
        <v>0.5</v>
      </c>
      <c r="L34" s="7">
        <f>_xlfn.XLOOKUP(D34,products!$A$1:$A$49,products!$E$1:$E$49,,0)</f>
        <v>8.73</v>
      </c>
      <c r="M34" s="7">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IF(_xlfn.XLOOKUP(F35,customers!$B$1:$B$1001,customers!$C$1:$C$1001,,0)=0,"",_xlfn.XLOOKUP(F35,customers!$B$1:$B$1001,customers!$C$1:$C$1001,,0))</f>
        <v>ggatheralx@123-reg.co.uk</v>
      </c>
      <c r="H35" s="2" t="str">
        <f>_xlfn.XLOOKUP(C35,customers!$A$1:$A$1001,customers!$G$1:$G$1001,,0)</f>
        <v>United States</v>
      </c>
      <c r="I35" t="str">
        <f>_xlfn.XLOOKUP(D35,products!$A$1:$A$49,products!$B$1:$B$49,,0)</f>
        <v>Lib</v>
      </c>
      <c r="J35" t="str">
        <f>_xlfn.XLOOKUP(D35,products!$A$1:$A$49,products!$C$1:$C$49,,0)</f>
        <v>L</v>
      </c>
      <c r="K35" s="5">
        <f>_xlfn.XLOOKUP(D35,products!$A$1:$A$49,products!$D$1:$D$49,,0)</f>
        <v>0.2</v>
      </c>
      <c r="L35" s="7">
        <f>_xlfn.XLOOKUP(D35,products!$A$1:$A$49,products!$E$1:$E$49,,0)</f>
        <v>4.7549999999999999</v>
      </c>
      <c r="M35" s="7">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IF(_xlfn.XLOOKUP(F36,customers!$B$1:$B$1001,customers!$C$1:$C$1001,,0)=0,"",_xlfn.XLOOKUP(F36,customers!$B$1:$B$1001,customers!$C$1:$C$1001,,0))</f>
        <v>uwelberryy@ebay.co.uk</v>
      </c>
      <c r="H36" s="2" t="str">
        <f>_xlfn.XLOOKUP(C36,customers!$A$1:$A$1001,customers!$G$1:$G$1001,,0)</f>
        <v>United Kingdom</v>
      </c>
      <c r="I36" t="str">
        <f>_xlfn.XLOOKUP(D36,products!$A$1:$A$49,products!$B$1:$B$49,,0)</f>
        <v>Lib</v>
      </c>
      <c r="J36" t="str">
        <f>_xlfn.XLOOKUP(D36,products!$A$1:$A$49,products!$C$1:$C$49,,0)</f>
        <v>L</v>
      </c>
      <c r="K36" s="5">
        <f>_xlfn.XLOOKUP(D36,products!$A$1:$A$49,products!$D$1:$D$49,,0)</f>
        <v>0.5</v>
      </c>
      <c r="L36" s="7">
        <f>_xlfn.XLOOKUP(D36,products!$A$1:$A$49,products!$E$1:$E$49,,0)</f>
        <v>9.51</v>
      </c>
      <c r="M36" s="7">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IF(_xlfn.XLOOKUP(F37,customers!$B$1:$B$1001,customers!$C$1:$C$1001,,0)=0,"",_xlfn.XLOOKUP(F37,customers!$B$1:$B$1001,customers!$C$1:$C$1001,,0))</f>
        <v>feilhartz@who.int</v>
      </c>
      <c r="H37" s="2" t="str">
        <f>_xlfn.XLOOKUP(C37,customers!$A$1:$A$1001,customers!$G$1:$G$1001,,0)</f>
        <v>United States</v>
      </c>
      <c r="I37" t="str">
        <f>_xlfn.XLOOKUP(D37,products!$A$1:$A$49,products!$B$1:$B$49,,0)</f>
        <v>Ara</v>
      </c>
      <c r="J37" t="str">
        <f>_xlfn.XLOOKUP(D37,products!$A$1:$A$49,products!$C$1:$C$49,,0)</f>
        <v>D</v>
      </c>
      <c r="K37" s="5">
        <f>_xlfn.XLOOKUP(D37,products!$A$1:$A$49,products!$D$1:$D$49,,0)</f>
        <v>0.5</v>
      </c>
      <c r="L37" s="7">
        <f>_xlfn.XLOOKUP(D37,products!$A$1:$A$49,products!$E$1:$E$49,,0)</f>
        <v>5.97</v>
      </c>
      <c r="M37" s="7">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IF(_xlfn.XLOOKUP(F38,customers!$B$1:$B$1001,customers!$C$1:$C$1001,,0)=0,"",_xlfn.XLOOKUP(F38,customers!$B$1:$B$1001,customers!$C$1:$C$1001,,0))</f>
        <v>zponting10@altervista.org</v>
      </c>
      <c r="H38" s="2" t="str">
        <f>_xlfn.XLOOKUP(C38,customers!$A$1:$A$1001,customers!$G$1:$G$1001,,0)</f>
        <v>United States</v>
      </c>
      <c r="I38" t="str">
        <f>_xlfn.XLOOKUP(D38,products!$A$1:$A$49,products!$B$1:$B$49,,0)</f>
        <v>Lib</v>
      </c>
      <c r="J38" t="str">
        <f>_xlfn.XLOOKUP(D38,products!$A$1:$A$49,products!$C$1:$C$49,,0)</f>
        <v>M</v>
      </c>
      <c r="K38" s="5">
        <f>_xlfn.XLOOKUP(D38,products!$A$1:$A$49,products!$D$1:$D$49,,0)</f>
        <v>0.2</v>
      </c>
      <c r="L38" s="7">
        <f>_xlfn.XLOOKUP(D38,products!$A$1:$A$49,products!$E$1:$E$49,,0)</f>
        <v>4.3650000000000002</v>
      </c>
      <c r="M38" s="7">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IF(_xlfn.XLOOKUP(F39,customers!$B$1:$B$1001,customers!$C$1:$C$1001,,0)=0,"",_xlfn.XLOOKUP(F39,customers!$B$1:$B$1001,customers!$C$1:$C$1001,,0))</f>
        <v>sstrase11@booking.com</v>
      </c>
      <c r="H39" s="2" t="str">
        <f>_xlfn.XLOOKUP(C39,customers!$A$1:$A$1001,customers!$G$1:$G$1001,,0)</f>
        <v>United States</v>
      </c>
      <c r="I39" t="str">
        <f>_xlfn.XLOOKUP(D39,products!$A$1:$A$49,products!$B$1:$B$49,,0)</f>
        <v>Lib</v>
      </c>
      <c r="J39" t="str">
        <f>_xlfn.XLOOKUP(D39,products!$A$1:$A$49,products!$C$1:$C$49,,0)</f>
        <v>L</v>
      </c>
      <c r="K39" s="5">
        <f>_xlfn.XLOOKUP(D39,products!$A$1:$A$49,products!$D$1:$D$49,,0)</f>
        <v>0.5</v>
      </c>
      <c r="L39" s="7">
        <f>_xlfn.XLOOKUP(D39,products!$A$1:$A$49,products!$E$1:$E$49,,0)</f>
        <v>9.51</v>
      </c>
      <c r="M39" s="7">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IF(_xlfn.XLOOKUP(F40,customers!$B$1:$B$1001,customers!$C$1:$C$1001,,0)=0,"",_xlfn.XLOOKUP(F40,customers!$B$1:$B$1001,customers!$C$1:$C$1001,,0))</f>
        <v>dde12@unesco.org</v>
      </c>
      <c r="H40" s="2" t="str">
        <f>_xlfn.XLOOKUP(C40,customers!$A$1:$A$1001,customers!$G$1:$G$1001,,0)</f>
        <v>United States</v>
      </c>
      <c r="I40" t="str">
        <f>_xlfn.XLOOKUP(D40,products!$A$1:$A$49,products!$B$1:$B$49,,0)</f>
        <v>Rob</v>
      </c>
      <c r="J40" t="str">
        <f>_xlfn.XLOOKUP(D40,products!$A$1:$A$49,products!$C$1:$C$49,,0)</f>
        <v>M</v>
      </c>
      <c r="K40" s="5">
        <f>_xlfn.XLOOKUP(D40,products!$A$1:$A$49,products!$D$1:$D$49,,0)</f>
        <v>2.5</v>
      </c>
      <c r="L40" s="7">
        <f>_xlfn.XLOOKUP(D40,products!$A$1:$A$49,products!$E$1:$E$49,,0)</f>
        <v>22.884999999999998</v>
      </c>
      <c r="M40" s="7">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IF(_xlfn.XLOOKUP(F41,customers!$B$1:$B$1001,customers!$C$1:$C$1001,,0)=0,"",_xlfn.XLOOKUP(F41,customers!$B$1:$B$1001,customers!$C$1:$C$1001,,0))</f>
        <v/>
      </c>
      <c r="H41" s="2" t="str">
        <f>_xlfn.XLOOKUP(C41,customers!$A$1:$A$1001,customers!$G$1:$G$1001,,0)</f>
        <v>United States</v>
      </c>
      <c r="I41" t="str">
        <f>_xlfn.XLOOKUP(D41,products!$A$1:$A$49,products!$B$1:$B$49,,0)</f>
        <v>Rob</v>
      </c>
      <c r="J41" t="str">
        <f>_xlfn.XLOOKUP(D41,products!$A$1:$A$49,products!$C$1:$C$49,,0)</f>
        <v>M</v>
      </c>
      <c r="K41" s="5">
        <f>_xlfn.XLOOKUP(D41,products!$A$1:$A$49,products!$D$1:$D$49,,0)</f>
        <v>1</v>
      </c>
      <c r="L41" s="7">
        <f>_xlfn.XLOOKUP(D41,products!$A$1:$A$49,products!$E$1:$E$49,,0)</f>
        <v>9.9499999999999993</v>
      </c>
      <c r="M41" s="7">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IF(_xlfn.XLOOKUP(F42,customers!$B$1:$B$1001,customers!$C$1:$C$1001,,0)=0,"",_xlfn.XLOOKUP(F42,customers!$B$1:$B$1001,customers!$C$1:$C$1001,,0))</f>
        <v/>
      </c>
      <c r="H42" s="2" t="str">
        <f>_xlfn.XLOOKUP(C42,customers!$A$1:$A$1001,customers!$G$1:$G$1001,,0)</f>
        <v>United States</v>
      </c>
      <c r="I42" t="str">
        <f>_xlfn.XLOOKUP(D42,products!$A$1:$A$49,products!$B$1:$B$49,,0)</f>
        <v>Lib</v>
      </c>
      <c r="J42" t="str">
        <f>_xlfn.XLOOKUP(D42,products!$A$1:$A$49,products!$C$1:$C$49,,0)</f>
        <v>M</v>
      </c>
      <c r="K42" s="5">
        <f>_xlfn.XLOOKUP(D42,products!$A$1:$A$49,products!$D$1:$D$49,,0)</f>
        <v>1</v>
      </c>
      <c r="L42" s="7">
        <f>_xlfn.XLOOKUP(D42,products!$A$1:$A$49,products!$E$1:$E$49,,0)</f>
        <v>14.55</v>
      </c>
      <c r="M42" s="7">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IF(_xlfn.XLOOKUP(F43,customers!$B$1:$B$1001,customers!$C$1:$C$1001,,0)=0,"",_xlfn.XLOOKUP(F43,customers!$B$1:$B$1001,customers!$C$1:$C$1001,,0))</f>
        <v>lyeoland15@pbs.org</v>
      </c>
      <c r="H43" s="2" t="str">
        <f>_xlfn.XLOOKUP(C43,customers!$A$1:$A$1001,customers!$G$1:$G$1001,,0)</f>
        <v>United States</v>
      </c>
      <c r="I43" t="str">
        <f>_xlfn.XLOOKUP(D43,products!$A$1:$A$49,products!$B$1:$B$49,,0)</f>
        <v>Exc</v>
      </c>
      <c r="J43" t="str">
        <f>_xlfn.XLOOKUP(D43,products!$A$1:$A$49,products!$C$1:$C$49,,0)</f>
        <v>D</v>
      </c>
      <c r="K43" s="5">
        <f>_xlfn.XLOOKUP(D43,products!$A$1:$A$49,products!$D$1:$D$49,,0)</f>
        <v>0.2</v>
      </c>
      <c r="L43" s="7">
        <f>_xlfn.XLOOKUP(D43,products!$A$1:$A$49,products!$E$1:$E$49,,0)</f>
        <v>3.645</v>
      </c>
      <c r="M43" s="7">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IF(_xlfn.XLOOKUP(F44,customers!$B$1:$B$1001,customers!$C$1:$C$1001,,0)=0,"",_xlfn.XLOOKUP(F44,customers!$B$1:$B$1001,customers!$C$1:$C$1001,,0))</f>
        <v>atolworthy16@toplist.cz</v>
      </c>
      <c r="H44" s="2" t="str">
        <f>_xlfn.XLOOKUP(C44,customers!$A$1:$A$1001,customers!$G$1:$G$1001,,0)</f>
        <v>United States</v>
      </c>
      <c r="I44" t="str">
        <f>_xlfn.XLOOKUP(D44,products!$A$1:$A$49,products!$B$1:$B$49,,0)</f>
        <v>Rob</v>
      </c>
      <c r="J44" t="str">
        <f>_xlfn.XLOOKUP(D44,products!$A$1:$A$49,products!$C$1:$C$49,,0)</f>
        <v>D</v>
      </c>
      <c r="K44" s="5">
        <f>_xlfn.XLOOKUP(D44,products!$A$1:$A$49,products!$D$1:$D$49,,0)</f>
        <v>0.2</v>
      </c>
      <c r="L44" s="7">
        <f>_xlfn.XLOOKUP(D44,products!$A$1:$A$49,products!$E$1:$E$49,,0)</f>
        <v>2.6849999999999996</v>
      </c>
      <c r="M44" s="7">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IF(_xlfn.XLOOKUP(F45,customers!$B$1:$B$1001,customers!$C$1:$C$1001,,0)=0,"",_xlfn.XLOOKUP(F45,customers!$B$1:$B$1001,customers!$C$1:$C$1001,,0))</f>
        <v/>
      </c>
      <c r="H45" s="2" t="str">
        <f>_xlfn.XLOOKUP(C45,customers!$A$1:$A$1001,customers!$G$1:$G$1001,,0)</f>
        <v>United States</v>
      </c>
      <c r="I45" t="str">
        <f>_xlfn.XLOOKUP(D45,products!$A$1:$A$49,products!$B$1:$B$49,,0)</f>
        <v>Lib</v>
      </c>
      <c r="J45" t="str">
        <f>_xlfn.XLOOKUP(D45,products!$A$1:$A$49,products!$C$1:$C$49,,0)</f>
        <v>L</v>
      </c>
      <c r="K45" s="5">
        <f>_xlfn.XLOOKUP(D45,products!$A$1:$A$49,products!$D$1:$D$49,,0)</f>
        <v>2.5</v>
      </c>
      <c r="L45" s="7">
        <f>_xlfn.XLOOKUP(D45,products!$A$1:$A$49,products!$E$1:$E$49,,0)</f>
        <v>36.454999999999998</v>
      </c>
      <c r="M45" s="7">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IF(_xlfn.XLOOKUP(F46,customers!$B$1:$B$1001,customers!$C$1:$C$1001,,0)=0,"",_xlfn.XLOOKUP(F46,customers!$B$1:$B$1001,customers!$C$1:$C$1001,,0))</f>
        <v>obaudassi18@seesaa.net</v>
      </c>
      <c r="H46" s="2" t="str">
        <f>_xlfn.XLOOKUP(C46,customers!$A$1:$A$1001,customers!$G$1:$G$1001,,0)</f>
        <v>United States</v>
      </c>
      <c r="I46" t="str">
        <f>_xlfn.XLOOKUP(D46,products!$A$1:$A$49,products!$B$1:$B$49,,0)</f>
        <v>Exc</v>
      </c>
      <c r="J46" t="str">
        <f>_xlfn.XLOOKUP(D46,products!$A$1:$A$49,products!$C$1:$C$49,,0)</f>
        <v>M</v>
      </c>
      <c r="K46" s="5">
        <f>_xlfn.XLOOKUP(D46,products!$A$1:$A$49,products!$D$1:$D$49,,0)</f>
        <v>0.5</v>
      </c>
      <c r="L46" s="7">
        <f>_xlfn.XLOOKUP(D46,products!$A$1:$A$49,products!$E$1:$E$49,,0)</f>
        <v>8.25</v>
      </c>
      <c r="M46" s="7">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IF(_xlfn.XLOOKUP(F47,customers!$B$1:$B$1001,customers!$C$1:$C$1001,,0)=0,"",_xlfn.XLOOKUP(F47,customers!$B$1:$B$1001,customers!$C$1:$C$1001,,0))</f>
        <v>pkingsbury19@comcast.net</v>
      </c>
      <c r="H47" s="2" t="str">
        <f>_xlfn.XLOOKUP(C47,customers!$A$1:$A$1001,customers!$G$1:$G$1001,,0)</f>
        <v>United States</v>
      </c>
      <c r="I47" t="str">
        <f>_xlfn.XLOOKUP(D47,products!$A$1:$A$49,products!$B$1:$B$49,,0)</f>
        <v>Lib</v>
      </c>
      <c r="J47" t="str">
        <f>_xlfn.XLOOKUP(D47,products!$A$1:$A$49,products!$C$1:$C$49,,0)</f>
        <v>D</v>
      </c>
      <c r="K47" s="5">
        <f>_xlfn.XLOOKUP(D47,products!$A$1:$A$49,products!$D$1:$D$49,,0)</f>
        <v>2.5</v>
      </c>
      <c r="L47" s="7">
        <f>_xlfn.XLOOKUP(D47,products!$A$1:$A$49,products!$E$1:$E$49,,0)</f>
        <v>29.784999999999997</v>
      </c>
      <c r="M47" s="7">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IF(_xlfn.XLOOKUP(F48,customers!$B$1:$B$1001,customers!$C$1:$C$1001,,0)=0,"",_xlfn.XLOOKUP(F48,customers!$B$1:$B$1001,customers!$C$1:$C$1001,,0))</f>
        <v/>
      </c>
      <c r="H48" s="2" t="str">
        <f>_xlfn.XLOOKUP(C48,customers!$A$1:$A$1001,customers!$G$1:$G$1001,,0)</f>
        <v>United States</v>
      </c>
      <c r="I48" t="str">
        <f>_xlfn.XLOOKUP(D48,products!$A$1:$A$49,products!$B$1:$B$49,,0)</f>
        <v>Exc</v>
      </c>
      <c r="J48" t="str">
        <f>_xlfn.XLOOKUP(D48,products!$A$1:$A$49,products!$C$1:$C$49,,0)</f>
        <v>M</v>
      </c>
      <c r="K48" s="5">
        <f>_xlfn.XLOOKUP(D48,products!$A$1:$A$49,products!$D$1:$D$49,,0)</f>
        <v>2.5</v>
      </c>
      <c r="L48" s="7">
        <f>_xlfn.XLOOKUP(D48,products!$A$1:$A$49,products!$E$1:$E$49,,0)</f>
        <v>31.624999999999996</v>
      </c>
      <c r="M48" s="7">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IF(_xlfn.XLOOKUP(F49,customers!$B$1:$B$1001,customers!$C$1:$C$1001,,0)=0,"",_xlfn.XLOOKUP(F49,customers!$B$1:$B$1001,customers!$C$1:$C$1001,,0))</f>
        <v>acurley1b@hao123.com</v>
      </c>
      <c r="H49" s="2" t="str">
        <f>_xlfn.XLOOKUP(C49,customers!$A$1:$A$1001,customers!$G$1:$G$1001,,0)</f>
        <v>United States</v>
      </c>
      <c r="I49" t="str">
        <f>_xlfn.XLOOKUP(D49,products!$A$1:$A$49,products!$B$1:$B$49,,0)</f>
        <v>Ara</v>
      </c>
      <c r="J49" t="str">
        <f>_xlfn.XLOOKUP(D49,products!$A$1:$A$49,products!$C$1:$C$49,,0)</f>
        <v>L</v>
      </c>
      <c r="K49" s="5">
        <f>_xlfn.XLOOKUP(D49,products!$A$1:$A$49,products!$D$1:$D$49,,0)</f>
        <v>0.2</v>
      </c>
      <c r="L49" s="7">
        <f>_xlfn.XLOOKUP(D49,products!$A$1:$A$49,products!$E$1:$E$49,,0)</f>
        <v>3.8849999999999998</v>
      </c>
      <c r="M49" s="7">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IF(_xlfn.XLOOKUP(F50,customers!$B$1:$B$1001,customers!$C$1:$C$1001,,0)=0,"",_xlfn.XLOOKUP(F50,customers!$B$1:$B$1001,customers!$C$1:$C$1001,,0))</f>
        <v>rmcgilvary1c@tamu.edu</v>
      </c>
      <c r="H50" s="2" t="str">
        <f>_xlfn.XLOOKUP(C50,customers!$A$1:$A$1001,customers!$G$1:$G$1001,,0)</f>
        <v>United States</v>
      </c>
      <c r="I50" t="str">
        <f>_xlfn.XLOOKUP(D50,products!$A$1:$A$49,products!$B$1:$B$49,,0)</f>
        <v>Ara</v>
      </c>
      <c r="J50" t="str">
        <f>_xlfn.XLOOKUP(D50,products!$A$1:$A$49,products!$C$1:$C$49,,0)</f>
        <v>D</v>
      </c>
      <c r="K50" s="5">
        <f>_xlfn.XLOOKUP(D50,products!$A$1:$A$49,products!$D$1:$D$49,,0)</f>
        <v>2.5</v>
      </c>
      <c r="L50" s="7">
        <f>_xlfn.XLOOKUP(D50,products!$A$1:$A$49,products!$E$1:$E$49,,0)</f>
        <v>22.884999999999998</v>
      </c>
      <c r="M50" s="7">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IF(_xlfn.XLOOKUP(F51,customers!$B$1:$B$1001,customers!$C$1:$C$1001,,0)=0,"",_xlfn.XLOOKUP(F51,customers!$B$1:$B$1001,customers!$C$1:$C$1001,,0))</f>
        <v>ipikett1d@xinhuanet.com</v>
      </c>
      <c r="H51" s="2" t="str">
        <f>_xlfn.XLOOKUP(C51,customers!$A$1:$A$1001,customers!$G$1:$G$1001,,0)</f>
        <v>United States</v>
      </c>
      <c r="I51" t="str">
        <f>_xlfn.XLOOKUP(D51,products!$A$1:$A$49,products!$B$1:$B$49,,0)</f>
        <v>Ara</v>
      </c>
      <c r="J51" t="str">
        <f>_xlfn.XLOOKUP(D51,products!$A$1:$A$49,products!$C$1:$C$49,,0)</f>
        <v>L</v>
      </c>
      <c r="K51" s="5">
        <f>_xlfn.XLOOKUP(D51,products!$A$1:$A$49,products!$D$1:$D$49,,0)</f>
        <v>1</v>
      </c>
      <c r="L51" s="7">
        <f>_xlfn.XLOOKUP(D51,products!$A$1:$A$49,products!$E$1:$E$49,,0)</f>
        <v>12.95</v>
      </c>
      <c r="M51" s="7">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IF(_xlfn.XLOOKUP(F52,customers!$B$1:$B$1001,customers!$C$1:$C$1001,,0)=0,"",_xlfn.XLOOKUP(F52,customers!$B$1:$B$1001,customers!$C$1:$C$1001,,0))</f>
        <v>ibouldon1e@gizmodo.com</v>
      </c>
      <c r="H52" s="2" t="str">
        <f>_xlfn.XLOOKUP(C52,customers!$A$1:$A$1001,customers!$G$1:$G$1001,,0)</f>
        <v>United States</v>
      </c>
      <c r="I52" t="str">
        <f>_xlfn.XLOOKUP(D52,products!$A$1:$A$49,products!$B$1:$B$49,,0)</f>
        <v>Lib</v>
      </c>
      <c r="J52" t="str">
        <f>_xlfn.XLOOKUP(D52,products!$A$1:$A$49,products!$C$1:$C$49,,0)</f>
        <v>D</v>
      </c>
      <c r="K52" s="5">
        <f>_xlfn.XLOOKUP(D52,products!$A$1:$A$49,products!$D$1:$D$49,,0)</f>
        <v>0.5</v>
      </c>
      <c r="L52" s="7">
        <f>_xlfn.XLOOKUP(D52,products!$A$1:$A$49,products!$E$1:$E$49,,0)</f>
        <v>7.77</v>
      </c>
      <c r="M52" s="7">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IF(_xlfn.XLOOKUP(F53,customers!$B$1:$B$1001,customers!$C$1:$C$1001,,0)=0,"",_xlfn.XLOOKUP(F53,customers!$B$1:$B$1001,customers!$C$1:$C$1001,,0))</f>
        <v>kflanders1f@over-blog.com</v>
      </c>
      <c r="H53" s="2" t="str">
        <f>_xlfn.XLOOKUP(C53,customers!$A$1:$A$1001,customers!$G$1:$G$1001,,0)</f>
        <v>Ireland</v>
      </c>
      <c r="I53" t="str">
        <f>_xlfn.XLOOKUP(D53,products!$A$1:$A$49,products!$B$1:$B$49,,0)</f>
        <v>Lib</v>
      </c>
      <c r="J53" t="str">
        <f>_xlfn.XLOOKUP(D53,products!$A$1:$A$49,products!$C$1:$C$49,,0)</f>
        <v>L</v>
      </c>
      <c r="K53" s="5">
        <f>_xlfn.XLOOKUP(D53,products!$A$1:$A$49,products!$D$1:$D$49,,0)</f>
        <v>2.5</v>
      </c>
      <c r="L53" s="7">
        <f>_xlfn.XLOOKUP(D53,products!$A$1:$A$49,products!$E$1:$E$49,,0)</f>
        <v>36.454999999999998</v>
      </c>
      <c r="M53" s="7">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IF(_xlfn.XLOOKUP(F54,customers!$B$1:$B$1001,customers!$C$1:$C$1001,,0)=0,"",_xlfn.XLOOKUP(F54,customers!$B$1:$B$1001,customers!$C$1:$C$1001,,0))</f>
        <v>hmattioli1g@webmd.com</v>
      </c>
      <c r="H54" s="2" t="str">
        <f>_xlfn.XLOOKUP(C54,customers!$A$1:$A$1001,customers!$G$1:$G$1001,,0)</f>
        <v>United Kingdom</v>
      </c>
      <c r="I54" t="str">
        <f>_xlfn.XLOOKUP(D54,products!$A$1:$A$49,products!$B$1:$B$49,,0)</f>
        <v>Rob</v>
      </c>
      <c r="J54" t="str">
        <f>_xlfn.XLOOKUP(D54,products!$A$1:$A$49,products!$C$1:$C$49,,0)</f>
        <v>M</v>
      </c>
      <c r="K54" s="5">
        <f>_xlfn.XLOOKUP(D54,products!$A$1:$A$49,products!$D$1:$D$49,,0)</f>
        <v>0.5</v>
      </c>
      <c r="L54" s="7">
        <f>_xlfn.XLOOKUP(D54,products!$A$1:$A$49,products!$E$1:$E$49,,0)</f>
        <v>5.97</v>
      </c>
      <c r="M54" s="7">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IF(_xlfn.XLOOKUP(F55,customers!$B$1:$B$1001,customers!$C$1:$C$1001,,0)=0,"",_xlfn.XLOOKUP(F55,customers!$B$1:$B$1001,customers!$C$1:$C$1001,,0))</f>
        <v>hmattioli1g@webmd.com</v>
      </c>
      <c r="H55" s="2" t="str">
        <f>_xlfn.XLOOKUP(C55,customers!$A$1:$A$1001,customers!$G$1:$G$1001,,0)</f>
        <v>United Kingdom</v>
      </c>
      <c r="I55" t="str">
        <f>_xlfn.XLOOKUP(D55,products!$A$1:$A$49,products!$B$1:$B$49,,0)</f>
        <v>Lib</v>
      </c>
      <c r="J55" t="str">
        <f>_xlfn.XLOOKUP(D55,products!$A$1:$A$49,products!$C$1:$C$49,,0)</f>
        <v>L</v>
      </c>
      <c r="K55" s="5">
        <f>_xlfn.XLOOKUP(D55,products!$A$1:$A$49,products!$D$1:$D$49,,0)</f>
        <v>2.5</v>
      </c>
      <c r="L55" s="7">
        <f>_xlfn.XLOOKUP(D55,products!$A$1:$A$49,products!$E$1:$E$49,,0)</f>
        <v>36.454999999999998</v>
      </c>
      <c r="M55" s="7">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IF(_xlfn.XLOOKUP(F56,customers!$B$1:$B$1001,customers!$C$1:$C$1001,,0)=0,"",_xlfn.XLOOKUP(F56,customers!$B$1:$B$1001,customers!$C$1:$C$1001,,0))</f>
        <v>agillard1i@issuu.com</v>
      </c>
      <c r="H56" s="2" t="str">
        <f>_xlfn.XLOOKUP(C56,customers!$A$1:$A$1001,customers!$G$1:$G$1001,,0)</f>
        <v>United States</v>
      </c>
      <c r="I56" t="str">
        <f>_xlfn.XLOOKUP(D56,products!$A$1:$A$49,products!$B$1:$B$49,,0)</f>
        <v>Lib</v>
      </c>
      <c r="J56" t="str">
        <f>_xlfn.XLOOKUP(D56,products!$A$1:$A$49,products!$C$1:$C$49,,0)</f>
        <v>M</v>
      </c>
      <c r="K56" s="5">
        <f>_xlfn.XLOOKUP(D56,products!$A$1:$A$49,products!$D$1:$D$49,,0)</f>
        <v>1</v>
      </c>
      <c r="L56" s="7">
        <f>_xlfn.XLOOKUP(D56,products!$A$1:$A$49,products!$E$1:$E$49,,0)</f>
        <v>14.55</v>
      </c>
      <c r="M56" s="7">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IF(_xlfn.XLOOKUP(F57,customers!$B$1:$B$1001,customers!$C$1:$C$1001,,0)=0,"",_xlfn.XLOOKUP(F57,customers!$B$1:$B$1001,customers!$C$1:$C$1001,,0))</f>
        <v/>
      </c>
      <c r="H57" s="2" t="str">
        <f>_xlfn.XLOOKUP(C57,customers!$A$1:$A$1001,customers!$G$1:$G$1001,,0)</f>
        <v>United States</v>
      </c>
      <c r="I57" t="str">
        <f>_xlfn.XLOOKUP(D57,products!$A$1:$A$49,products!$B$1:$B$49,,0)</f>
        <v>Lib</v>
      </c>
      <c r="J57" t="str">
        <f>_xlfn.XLOOKUP(D57,products!$A$1:$A$49,products!$C$1:$C$49,,0)</f>
        <v>L</v>
      </c>
      <c r="K57" s="5">
        <f>_xlfn.XLOOKUP(D57,products!$A$1:$A$49,products!$D$1:$D$49,,0)</f>
        <v>1</v>
      </c>
      <c r="L57" s="7">
        <f>_xlfn.XLOOKUP(D57,products!$A$1:$A$49,products!$E$1:$E$49,,0)</f>
        <v>15.85</v>
      </c>
      <c r="M57" s="7">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IF(_xlfn.XLOOKUP(F58,customers!$B$1:$B$1001,customers!$C$1:$C$1001,,0)=0,"",_xlfn.XLOOKUP(F58,customers!$B$1:$B$1001,customers!$C$1:$C$1001,,0))</f>
        <v>tgrizard1k@odnoklassniki.ru</v>
      </c>
      <c r="H58" s="2" t="str">
        <f>_xlfn.XLOOKUP(C58,customers!$A$1:$A$1001,customers!$G$1:$G$1001,,0)</f>
        <v>United States</v>
      </c>
      <c r="I58" t="str">
        <f>_xlfn.XLOOKUP(D58,products!$A$1:$A$49,products!$B$1:$B$49,,0)</f>
        <v>Exc</v>
      </c>
      <c r="J58" t="str">
        <f>_xlfn.XLOOKUP(D58,products!$A$1:$A$49,products!$C$1:$C$49,,0)</f>
        <v>D</v>
      </c>
      <c r="K58" s="5">
        <f>_xlfn.XLOOKUP(D58,products!$A$1:$A$49,products!$D$1:$D$49,,0)</f>
        <v>0.2</v>
      </c>
      <c r="L58" s="7">
        <f>_xlfn.XLOOKUP(D58,products!$A$1:$A$49,products!$E$1:$E$49,,0)</f>
        <v>3.645</v>
      </c>
      <c r="M58" s="7">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IF(_xlfn.XLOOKUP(F59,customers!$B$1:$B$1001,customers!$C$1:$C$1001,,0)=0,"",_xlfn.XLOOKUP(F59,customers!$B$1:$B$1001,customers!$C$1:$C$1001,,0))</f>
        <v>rrelton1l@stanford.edu</v>
      </c>
      <c r="H59" s="2" t="str">
        <f>_xlfn.XLOOKUP(C59,customers!$A$1:$A$1001,customers!$G$1:$G$1001,,0)</f>
        <v>United States</v>
      </c>
      <c r="I59" t="str">
        <f>_xlfn.XLOOKUP(D59,products!$A$1:$A$49,products!$B$1:$B$49,,0)</f>
        <v>Exc</v>
      </c>
      <c r="J59" t="str">
        <f>_xlfn.XLOOKUP(D59,products!$A$1:$A$49,products!$C$1:$C$49,,0)</f>
        <v>L</v>
      </c>
      <c r="K59" s="5">
        <f>_xlfn.XLOOKUP(D59,products!$A$1:$A$49,products!$D$1:$D$49,,0)</f>
        <v>1</v>
      </c>
      <c r="L59" s="7">
        <f>_xlfn.XLOOKUP(D59,products!$A$1:$A$49,products!$E$1:$E$49,,0)</f>
        <v>14.85</v>
      </c>
      <c r="M59" s="7">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IF(_xlfn.XLOOKUP(F60,customers!$B$1:$B$1001,customers!$C$1:$C$1001,,0)=0,"",_xlfn.XLOOKUP(F60,customers!$B$1:$B$1001,customers!$C$1:$C$1001,,0))</f>
        <v/>
      </c>
      <c r="H60" s="2" t="str">
        <f>_xlfn.XLOOKUP(C60,customers!$A$1:$A$1001,customers!$G$1:$G$1001,,0)</f>
        <v>United States</v>
      </c>
      <c r="I60" t="str">
        <f>_xlfn.XLOOKUP(D60,products!$A$1:$A$49,products!$B$1:$B$49,,0)</f>
        <v>Lib</v>
      </c>
      <c r="J60" t="str">
        <f>_xlfn.XLOOKUP(D60,products!$A$1:$A$49,products!$C$1:$C$49,,0)</f>
        <v>D</v>
      </c>
      <c r="K60" s="5">
        <f>_xlfn.XLOOKUP(D60,products!$A$1:$A$49,products!$D$1:$D$49,,0)</f>
        <v>2.5</v>
      </c>
      <c r="L60" s="7">
        <f>_xlfn.XLOOKUP(D60,products!$A$1:$A$49,products!$E$1:$E$49,,0)</f>
        <v>29.784999999999997</v>
      </c>
      <c r="M60" s="7">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IF(_xlfn.XLOOKUP(F61,customers!$B$1:$B$1001,customers!$C$1:$C$1001,,0)=0,"",_xlfn.XLOOKUP(F61,customers!$B$1:$B$1001,customers!$C$1:$C$1001,,0))</f>
        <v>sgilroy1n@eepurl.com</v>
      </c>
      <c r="H61" s="2" t="str">
        <f>_xlfn.XLOOKUP(C61,customers!$A$1:$A$1001,customers!$G$1:$G$1001,,0)</f>
        <v>United States</v>
      </c>
      <c r="I61" t="str">
        <f>_xlfn.XLOOKUP(D61,products!$A$1:$A$49,products!$B$1:$B$49,,0)</f>
        <v>Lib</v>
      </c>
      <c r="J61" t="str">
        <f>_xlfn.XLOOKUP(D61,products!$A$1:$A$49,products!$C$1:$C$49,,0)</f>
        <v>M</v>
      </c>
      <c r="K61" s="5">
        <f>_xlfn.XLOOKUP(D61,products!$A$1:$A$49,products!$D$1:$D$49,,0)</f>
        <v>0.5</v>
      </c>
      <c r="L61" s="7">
        <f>_xlfn.XLOOKUP(D61,products!$A$1:$A$49,products!$E$1:$E$49,,0)</f>
        <v>8.73</v>
      </c>
      <c r="M61" s="7">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IF(_xlfn.XLOOKUP(F62,customers!$B$1:$B$1001,customers!$C$1:$C$1001,,0)=0,"",_xlfn.XLOOKUP(F62,customers!$B$1:$B$1001,customers!$C$1:$C$1001,,0))</f>
        <v>ccottingham1o@wikipedia.org</v>
      </c>
      <c r="H62" s="2" t="str">
        <f>_xlfn.XLOOKUP(C62,customers!$A$1:$A$1001,customers!$G$1:$G$1001,,0)</f>
        <v>United States</v>
      </c>
      <c r="I62" t="str">
        <f>_xlfn.XLOOKUP(D62,products!$A$1:$A$49,products!$B$1:$B$49,,0)</f>
        <v>Ara</v>
      </c>
      <c r="J62" t="str">
        <f>_xlfn.XLOOKUP(D62,products!$A$1:$A$49,products!$C$1:$C$49,,0)</f>
        <v>D</v>
      </c>
      <c r="K62" s="5">
        <f>_xlfn.XLOOKUP(D62,products!$A$1:$A$49,products!$D$1:$D$49,,0)</f>
        <v>2.5</v>
      </c>
      <c r="L62" s="7">
        <f>_xlfn.XLOOKUP(D62,products!$A$1:$A$49,products!$E$1:$E$49,,0)</f>
        <v>22.884999999999998</v>
      </c>
      <c r="M62" s="7">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IF(_xlfn.XLOOKUP(F63,customers!$B$1:$B$1001,customers!$C$1:$C$1001,,0)=0,"",_xlfn.XLOOKUP(F63,customers!$B$1:$B$1001,customers!$C$1:$C$1001,,0))</f>
        <v/>
      </c>
      <c r="H63" s="2" t="str">
        <f>_xlfn.XLOOKUP(C63,customers!$A$1:$A$1001,customers!$G$1:$G$1001,,0)</f>
        <v>United Kingdom</v>
      </c>
      <c r="I63" t="str">
        <f>_xlfn.XLOOKUP(D63,products!$A$1:$A$49,products!$B$1:$B$49,,0)</f>
        <v>Rob</v>
      </c>
      <c r="J63" t="str">
        <f>_xlfn.XLOOKUP(D63,products!$A$1:$A$49,products!$C$1:$C$49,,0)</f>
        <v>D</v>
      </c>
      <c r="K63" s="5">
        <f>_xlfn.XLOOKUP(D63,products!$A$1:$A$49,products!$D$1:$D$49,,0)</f>
        <v>0.5</v>
      </c>
      <c r="L63" s="7">
        <f>_xlfn.XLOOKUP(D63,products!$A$1:$A$49,products!$E$1:$E$49,,0)</f>
        <v>5.3699999999999992</v>
      </c>
      <c r="M63" s="7">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IF(_xlfn.XLOOKUP(F64,customers!$B$1:$B$1001,customers!$C$1:$C$1001,,0)=0,"",_xlfn.XLOOKUP(F64,customers!$B$1:$B$1001,customers!$C$1:$C$1001,,0))</f>
        <v/>
      </c>
      <c r="H64" s="2" t="str">
        <f>_xlfn.XLOOKUP(C64,customers!$A$1:$A$1001,customers!$G$1:$G$1001,,0)</f>
        <v>United States</v>
      </c>
      <c r="I64" t="str">
        <f>_xlfn.XLOOKUP(D64,products!$A$1:$A$49,products!$B$1:$B$49,,0)</f>
        <v>Lib</v>
      </c>
      <c r="J64" t="str">
        <f>_xlfn.XLOOKUP(D64,products!$A$1:$A$49,products!$C$1:$C$49,,0)</f>
        <v>L</v>
      </c>
      <c r="K64" s="5">
        <f>_xlfn.XLOOKUP(D64,products!$A$1:$A$49,products!$D$1:$D$49,,0)</f>
        <v>0.2</v>
      </c>
      <c r="L64" s="7">
        <f>_xlfn.XLOOKUP(D64,products!$A$1:$A$49,products!$E$1:$E$49,,0)</f>
        <v>4.7549999999999999</v>
      </c>
      <c r="M64" s="7">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IF(_xlfn.XLOOKUP(F65,customers!$B$1:$B$1001,customers!$C$1:$C$1001,,0)=0,"",_xlfn.XLOOKUP(F65,customers!$B$1:$B$1001,customers!$C$1:$C$1001,,0))</f>
        <v>adykes1r@eventbrite.com</v>
      </c>
      <c r="H65" s="2" t="str">
        <f>_xlfn.XLOOKUP(C65,customers!$A$1:$A$1001,customers!$G$1:$G$1001,,0)</f>
        <v>United States</v>
      </c>
      <c r="I65" t="str">
        <f>_xlfn.XLOOKUP(D65,products!$A$1:$A$49,products!$B$1:$B$49,,0)</f>
        <v>Ara</v>
      </c>
      <c r="J65" t="str">
        <f>_xlfn.XLOOKUP(D65,products!$A$1:$A$49,products!$C$1:$C$49,,0)</f>
        <v>M</v>
      </c>
      <c r="K65" s="5">
        <f>_xlfn.XLOOKUP(D65,products!$A$1:$A$49,products!$D$1:$D$49,,0)</f>
        <v>0.5</v>
      </c>
      <c r="L65" s="7">
        <f>_xlfn.XLOOKUP(D65,products!$A$1:$A$49,products!$E$1:$E$49,,0)</f>
        <v>6.75</v>
      </c>
      <c r="M65" s="7">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IF(_xlfn.XLOOKUP(F66,customers!$B$1:$B$1001,customers!$C$1:$C$1001,,0)=0,"",_xlfn.XLOOKUP(F66,customers!$B$1:$B$1001,customers!$C$1:$C$1001,,0))</f>
        <v/>
      </c>
      <c r="H66" s="2" t="str">
        <f>_xlfn.XLOOKUP(C66,customers!$A$1:$A$1001,customers!$G$1:$G$1001,,0)</f>
        <v>United States</v>
      </c>
      <c r="I66" t="str">
        <f>_xlfn.XLOOKUP(D66,products!$A$1:$A$49,products!$B$1:$B$49,,0)</f>
        <v>Rob</v>
      </c>
      <c r="J66" t="str">
        <f>_xlfn.XLOOKUP(D66,products!$A$1:$A$49,products!$C$1:$C$49,,0)</f>
        <v>M</v>
      </c>
      <c r="K66" s="5">
        <f>_xlfn.XLOOKUP(D66,products!$A$1:$A$49,products!$D$1:$D$49,,0)</f>
        <v>0.5</v>
      </c>
      <c r="L66" s="7">
        <f>_xlfn.XLOOKUP(D66,products!$A$1:$A$49,products!$E$1:$E$49,,0)</f>
        <v>5.97</v>
      </c>
      <c r="M66" s="7">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IF(_xlfn.XLOOKUP(F67,customers!$B$1:$B$1001,customers!$C$1:$C$1001,,0)=0,"",_xlfn.XLOOKUP(F67,customers!$B$1:$B$1001,customers!$C$1:$C$1001,,0))</f>
        <v>acockrem1t@engadget.com</v>
      </c>
      <c r="H67" s="2" t="str">
        <f>_xlfn.XLOOKUP(C67,customers!$A$1:$A$1001,customers!$G$1:$G$1001,,0)</f>
        <v>United States</v>
      </c>
      <c r="I67" t="str">
        <f>_xlfn.XLOOKUP(D67,products!$A$1:$A$49,products!$B$1:$B$49,,0)</f>
        <v>Rob</v>
      </c>
      <c r="J67" t="str">
        <f>_xlfn.XLOOKUP(D67,products!$A$1:$A$49,products!$C$1:$C$49,,0)</f>
        <v>D</v>
      </c>
      <c r="K67" s="5">
        <f>_xlfn.XLOOKUP(D67,products!$A$1:$A$49,products!$D$1:$D$49,,0)</f>
        <v>2.5</v>
      </c>
      <c r="L67" s="7">
        <f>_xlfn.XLOOKUP(D67,products!$A$1:$A$49,products!$E$1:$E$49,,0)</f>
        <v>20.584999999999997</v>
      </c>
      <c r="M67" s="7">
        <f t="shared" ref="M67:M130" si="3">(L67*E67)</f>
        <v>82.339999999999989</v>
      </c>
      <c r="N67" t="str">
        <f t="shared" ref="N67:N130" si="4">IF(I67="Rob","Robusta", 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IF(_xlfn.XLOOKUP(F68,customers!$B$1:$B$1001,customers!$C$1:$C$1001,,0)=0,"",_xlfn.XLOOKUP(F68,customers!$B$1:$B$1001,customers!$C$1:$C$1001,,0))</f>
        <v>bumpleby1u@soundcloud.com</v>
      </c>
      <c r="H68" s="2" t="str">
        <f>_xlfn.XLOOKUP(C68,customers!$A$1:$A$1001,customers!$G$1:$G$1001,,0)</f>
        <v>United States</v>
      </c>
      <c r="I68" t="str">
        <f>_xlfn.XLOOKUP(D68,products!$A$1:$A$49,products!$B$1:$B$49,,0)</f>
        <v>Rob</v>
      </c>
      <c r="J68" t="str">
        <f>_xlfn.XLOOKUP(D68,products!$A$1:$A$49,products!$C$1:$C$49,,0)</f>
        <v>L</v>
      </c>
      <c r="K68" s="5">
        <f>_xlfn.XLOOKUP(D68,products!$A$1:$A$49,products!$D$1:$D$49,,0)</f>
        <v>0.5</v>
      </c>
      <c r="L68" s="7">
        <f>_xlfn.XLOOKUP(D68,products!$A$1:$A$49,products!$E$1:$E$49,,0)</f>
        <v>7.169999999999999</v>
      </c>
      <c r="M68" s="7">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IF(_xlfn.XLOOKUP(F69,customers!$B$1:$B$1001,customers!$C$1:$C$1001,,0)=0,"",_xlfn.XLOOKUP(F69,customers!$B$1:$B$1001,customers!$C$1:$C$1001,,0))</f>
        <v>nsaleway1v@dedecms.com</v>
      </c>
      <c r="H69" s="2" t="str">
        <f>_xlfn.XLOOKUP(C69,customers!$A$1:$A$1001,customers!$G$1:$G$1001,,0)</f>
        <v>United States</v>
      </c>
      <c r="I69" t="str">
        <f>_xlfn.XLOOKUP(D69,products!$A$1:$A$49,products!$B$1:$B$49,,0)</f>
        <v>Lib</v>
      </c>
      <c r="J69" t="str">
        <f>_xlfn.XLOOKUP(D69,products!$A$1:$A$49,products!$C$1:$C$49,,0)</f>
        <v>L</v>
      </c>
      <c r="K69" s="5">
        <f>_xlfn.XLOOKUP(D69,products!$A$1:$A$49,products!$D$1:$D$49,,0)</f>
        <v>0.2</v>
      </c>
      <c r="L69" s="7">
        <f>_xlfn.XLOOKUP(D69,products!$A$1:$A$49,products!$E$1:$E$49,,0)</f>
        <v>4.7549999999999999</v>
      </c>
      <c r="M69" s="7">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IF(_xlfn.XLOOKUP(F70,customers!$B$1:$B$1001,customers!$C$1:$C$1001,,0)=0,"",_xlfn.XLOOKUP(F70,customers!$B$1:$B$1001,customers!$C$1:$C$1001,,0))</f>
        <v>hgoulter1w@abc.net.au</v>
      </c>
      <c r="H70" s="2" t="str">
        <f>_xlfn.XLOOKUP(C70,customers!$A$1:$A$1001,customers!$G$1:$G$1001,,0)</f>
        <v>United States</v>
      </c>
      <c r="I70" t="str">
        <f>_xlfn.XLOOKUP(D70,products!$A$1:$A$49,products!$B$1:$B$49,,0)</f>
        <v>Rob</v>
      </c>
      <c r="J70" t="str">
        <f>_xlfn.XLOOKUP(D70,products!$A$1:$A$49,products!$C$1:$C$49,,0)</f>
        <v>M</v>
      </c>
      <c r="K70" s="5">
        <f>_xlfn.XLOOKUP(D70,products!$A$1:$A$49,products!$D$1:$D$49,,0)</f>
        <v>0.2</v>
      </c>
      <c r="L70" s="7">
        <f>_xlfn.XLOOKUP(D70,products!$A$1:$A$49,products!$E$1:$E$49,,0)</f>
        <v>2.9849999999999999</v>
      </c>
      <c r="M70" s="7">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IF(_xlfn.XLOOKUP(F71,customers!$B$1:$B$1001,customers!$C$1:$C$1001,,0)=0,"",_xlfn.XLOOKUP(F71,customers!$B$1:$B$1001,customers!$C$1:$C$1001,,0))</f>
        <v>grizzello1x@symantec.com</v>
      </c>
      <c r="H71" s="2" t="str">
        <f>_xlfn.XLOOKUP(C71,customers!$A$1:$A$1001,customers!$G$1:$G$1001,,0)</f>
        <v>United Kingdom</v>
      </c>
      <c r="I71" t="str">
        <f>_xlfn.XLOOKUP(D71,products!$A$1:$A$49,products!$B$1:$B$49,,0)</f>
        <v>Rob</v>
      </c>
      <c r="J71" t="str">
        <f>_xlfn.XLOOKUP(D71,products!$A$1:$A$49,products!$C$1:$C$49,,0)</f>
        <v>M</v>
      </c>
      <c r="K71" s="5">
        <f>_xlfn.XLOOKUP(D71,products!$A$1:$A$49,products!$D$1:$D$49,,0)</f>
        <v>1</v>
      </c>
      <c r="L71" s="7">
        <f>_xlfn.XLOOKUP(D71,products!$A$1:$A$49,products!$E$1:$E$49,,0)</f>
        <v>9.9499999999999993</v>
      </c>
      <c r="M71" s="7">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IF(_xlfn.XLOOKUP(F72,customers!$B$1:$B$1001,customers!$C$1:$C$1001,,0)=0,"",_xlfn.XLOOKUP(F72,customers!$B$1:$B$1001,customers!$C$1:$C$1001,,0))</f>
        <v>slist1y@mapquest.com</v>
      </c>
      <c r="H72" s="2" t="str">
        <f>_xlfn.XLOOKUP(C72,customers!$A$1:$A$1001,customers!$G$1:$G$1001,,0)</f>
        <v>United States</v>
      </c>
      <c r="I72" t="str">
        <f>_xlfn.XLOOKUP(D72,products!$A$1:$A$49,products!$B$1:$B$49,,0)</f>
        <v>Exc</v>
      </c>
      <c r="J72" t="str">
        <f>_xlfn.XLOOKUP(D72,products!$A$1:$A$49,products!$C$1:$C$49,,0)</f>
        <v>L</v>
      </c>
      <c r="K72" s="5">
        <f>_xlfn.XLOOKUP(D72,products!$A$1:$A$49,products!$D$1:$D$49,,0)</f>
        <v>2.5</v>
      </c>
      <c r="L72" s="7">
        <f>_xlfn.XLOOKUP(D72,products!$A$1:$A$49,products!$E$1:$E$49,,0)</f>
        <v>34.154999999999994</v>
      </c>
      <c r="M72" s="7">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IF(_xlfn.XLOOKUP(F73,customers!$B$1:$B$1001,customers!$C$1:$C$1001,,0)=0,"",_xlfn.XLOOKUP(F73,customers!$B$1:$B$1001,customers!$C$1:$C$1001,,0))</f>
        <v>sedmondson1z@theguardian.com</v>
      </c>
      <c r="H73" s="2" t="str">
        <f>_xlfn.XLOOKUP(C73,customers!$A$1:$A$1001,customers!$G$1:$G$1001,,0)</f>
        <v>Ireland</v>
      </c>
      <c r="I73" t="str">
        <f>_xlfn.XLOOKUP(D73,products!$A$1:$A$49,products!$B$1:$B$49,,0)</f>
        <v>Lib</v>
      </c>
      <c r="J73" t="str">
        <f>_xlfn.XLOOKUP(D73,products!$A$1:$A$49,products!$C$1:$C$49,,0)</f>
        <v>L</v>
      </c>
      <c r="K73" s="5">
        <f>_xlfn.XLOOKUP(D73,products!$A$1:$A$49,products!$D$1:$D$49,,0)</f>
        <v>0.2</v>
      </c>
      <c r="L73" s="7">
        <f>_xlfn.XLOOKUP(D73,products!$A$1:$A$49,products!$E$1:$E$49,,0)</f>
        <v>4.7549999999999999</v>
      </c>
      <c r="M73" s="7">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IF(_xlfn.XLOOKUP(F74,customers!$B$1:$B$1001,customers!$C$1:$C$1001,,0)=0,"",_xlfn.XLOOKUP(F74,customers!$B$1:$B$1001,customers!$C$1:$C$1001,,0))</f>
        <v/>
      </c>
      <c r="H74" s="2" t="str">
        <f>_xlfn.XLOOKUP(C74,customers!$A$1:$A$1001,customers!$G$1:$G$1001,,0)</f>
        <v>United States</v>
      </c>
      <c r="I74" t="str">
        <f>_xlfn.XLOOKUP(D74,products!$A$1:$A$49,products!$B$1:$B$49,,0)</f>
        <v>Ara</v>
      </c>
      <c r="J74" t="str">
        <f>_xlfn.XLOOKUP(D74,products!$A$1:$A$49,products!$C$1:$C$49,,0)</f>
        <v>M</v>
      </c>
      <c r="K74" s="5">
        <f>_xlfn.XLOOKUP(D74,products!$A$1:$A$49,products!$D$1:$D$49,,0)</f>
        <v>2.5</v>
      </c>
      <c r="L74" s="7">
        <f>_xlfn.XLOOKUP(D74,products!$A$1:$A$49,products!$E$1:$E$49,,0)</f>
        <v>25.874999999999996</v>
      </c>
      <c r="M74" s="7">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IF(_xlfn.XLOOKUP(F75,customers!$B$1:$B$1001,customers!$C$1:$C$1001,,0)=0,"",_xlfn.XLOOKUP(F75,customers!$B$1:$B$1001,customers!$C$1:$C$1001,,0))</f>
        <v/>
      </c>
      <c r="H75" s="2" t="str">
        <f>_xlfn.XLOOKUP(C75,customers!$A$1:$A$1001,customers!$G$1:$G$1001,,0)</f>
        <v>United States</v>
      </c>
      <c r="I75" t="str">
        <f>_xlfn.XLOOKUP(D75,products!$A$1:$A$49,products!$B$1:$B$49,,0)</f>
        <v>Lib</v>
      </c>
      <c r="J75" t="str">
        <f>_xlfn.XLOOKUP(D75,products!$A$1:$A$49,products!$C$1:$C$49,,0)</f>
        <v>M</v>
      </c>
      <c r="K75" s="5">
        <f>_xlfn.XLOOKUP(D75,products!$A$1:$A$49,products!$D$1:$D$49,,0)</f>
        <v>0.2</v>
      </c>
      <c r="L75" s="7">
        <f>_xlfn.XLOOKUP(D75,products!$A$1:$A$49,products!$E$1:$E$49,,0)</f>
        <v>4.3650000000000002</v>
      </c>
      <c r="M75" s="7">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IF(_xlfn.XLOOKUP(F76,customers!$B$1:$B$1001,customers!$C$1:$C$1001,,0)=0,"",_xlfn.XLOOKUP(F76,customers!$B$1:$B$1001,customers!$C$1:$C$1001,,0))</f>
        <v>jrangall22@newsvine.com</v>
      </c>
      <c r="H76" s="2" t="str">
        <f>_xlfn.XLOOKUP(C76,customers!$A$1:$A$1001,customers!$G$1:$G$1001,,0)</f>
        <v>United States</v>
      </c>
      <c r="I76" t="str">
        <f>_xlfn.XLOOKUP(D76,products!$A$1:$A$49,products!$B$1:$B$49,,0)</f>
        <v>Exc</v>
      </c>
      <c r="J76" t="str">
        <f>_xlfn.XLOOKUP(D76,products!$A$1:$A$49,products!$C$1:$C$49,,0)</f>
        <v>L</v>
      </c>
      <c r="K76" s="5">
        <f>_xlfn.XLOOKUP(D76,products!$A$1:$A$49,products!$D$1:$D$49,,0)</f>
        <v>0.5</v>
      </c>
      <c r="L76" s="7">
        <f>_xlfn.XLOOKUP(D76,products!$A$1:$A$49,products!$E$1:$E$49,,0)</f>
        <v>8.91</v>
      </c>
      <c r="M76" s="7">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IF(_xlfn.XLOOKUP(F77,customers!$B$1:$B$1001,customers!$C$1:$C$1001,,0)=0,"",_xlfn.XLOOKUP(F77,customers!$B$1:$B$1001,customers!$C$1:$C$1001,,0))</f>
        <v>kboorn23@ezinearticles.com</v>
      </c>
      <c r="H77" s="2" t="str">
        <f>_xlfn.XLOOKUP(C77,customers!$A$1:$A$1001,customers!$G$1:$G$1001,,0)</f>
        <v>Ireland</v>
      </c>
      <c r="I77" t="str">
        <f>_xlfn.XLOOKUP(D77,products!$A$1:$A$49,products!$B$1:$B$49,,0)</f>
        <v>Rob</v>
      </c>
      <c r="J77" t="str">
        <f>_xlfn.XLOOKUP(D77,products!$A$1:$A$49,products!$C$1:$C$49,,0)</f>
        <v>D</v>
      </c>
      <c r="K77" s="5">
        <f>_xlfn.XLOOKUP(D77,products!$A$1:$A$49,products!$D$1:$D$49,,0)</f>
        <v>1</v>
      </c>
      <c r="L77" s="7">
        <f>_xlfn.XLOOKUP(D77,products!$A$1:$A$49,products!$E$1:$E$49,,0)</f>
        <v>8.9499999999999993</v>
      </c>
      <c r="M77" s="7">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IF(_xlfn.XLOOKUP(F78,customers!$B$1:$B$1001,customers!$C$1:$C$1001,,0)=0,"",_xlfn.XLOOKUP(F78,customers!$B$1:$B$1001,customers!$C$1:$C$1001,,0))</f>
        <v/>
      </c>
      <c r="H78" s="2" t="str">
        <f>_xlfn.XLOOKUP(C78,customers!$A$1:$A$1001,customers!$G$1:$G$1001,,0)</f>
        <v>Ireland</v>
      </c>
      <c r="I78" t="str">
        <f>_xlfn.XLOOKUP(D78,products!$A$1:$A$49,products!$B$1:$B$49,,0)</f>
        <v>Rob</v>
      </c>
      <c r="J78" t="str">
        <f>_xlfn.XLOOKUP(D78,products!$A$1:$A$49,products!$C$1:$C$49,,0)</f>
        <v>L</v>
      </c>
      <c r="K78" s="5">
        <f>_xlfn.XLOOKUP(D78,products!$A$1:$A$49,products!$D$1:$D$49,,0)</f>
        <v>0.2</v>
      </c>
      <c r="L78" s="7">
        <f>_xlfn.XLOOKUP(D78,products!$A$1:$A$49,products!$E$1:$E$49,,0)</f>
        <v>3.5849999999999995</v>
      </c>
      <c r="M78" s="7">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IF(_xlfn.XLOOKUP(F79,customers!$B$1:$B$1001,customers!$C$1:$C$1001,,0)=0,"",_xlfn.XLOOKUP(F79,customers!$B$1:$B$1001,customers!$C$1:$C$1001,,0))</f>
        <v>celgey25@webs.com</v>
      </c>
      <c r="H79" s="2" t="str">
        <f>_xlfn.XLOOKUP(C79,customers!$A$1:$A$1001,customers!$G$1:$G$1001,,0)</f>
        <v>United States</v>
      </c>
      <c r="I79" t="str">
        <f>_xlfn.XLOOKUP(D79,products!$A$1:$A$49,products!$B$1:$B$49,,0)</f>
        <v>Exc</v>
      </c>
      <c r="J79" t="str">
        <f>_xlfn.XLOOKUP(D79,products!$A$1:$A$49,products!$C$1:$C$49,,0)</f>
        <v>D</v>
      </c>
      <c r="K79" s="5">
        <f>_xlfn.XLOOKUP(D79,products!$A$1:$A$49,products!$D$1:$D$49,,0)</f>
        <v>0.2</v>
      </c>
      <c r="L79" s="7">
        <f>_xlfn.XLOOKUP(D79,products!$A$1:$A$49,products!$E$1:$E$49,,0)</f>
        <v>3.645</v>
      </c>
      <c r="M79" s="7">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IF(_xlfn.XLOOKUP(F80,customers!$B$1:$B$1001,customers!$C$1:$C$1001,,0)=0,"",_xlfn.XLOOKUP(F80,customers!$B$1:$B$1001,customers!$C$1:$C$1001,,0))</f>
        <v>lmizzi26@rakuten.co.jp</v>
      </c>
      <c r="H80" s="2" t="str">
        <f>_xlfn.XLOOKUP(C80,customers!$A$1:$A$1001,customers!$G$1:$G$1001,,0)</f>
        <v>United States</v>
      </c>
      <c r="I80" t="str">
        <f>_xlfn.XLOOKUP(D80,products!$A$1:$A$49,products!$B$1:$B$49,,0)</f>
        <v>Ara</v>
      </c>
      <c r="J80" t="str">
        <f>_xlfn.XLOOKUP(D80,products!$A$1:$A$49,products!$C$1:$C$49,,0)</f>
        <v>M</v>
      </c>
      <c r="K80" s="5">
        <f>_xlfn.XLOOKUP(D80,products!$A$1:$A$49,products!$D$1:$D$49,,0)</f>
        <v>0.5</v>
      </c>
      <c r="L80" s="7">
        <f>_xlfn.XLOOKUP(D80,products!$A$1:$A$49,products!$E$1:$E$49,,0)</f>
        <v>6.75</v>
      </c>
      <c r="M80" s="7">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IF(_xlfn.XLOOKUP(F81,customers!$B$1:$B$1001,customers!$C$1:$C$1001,,0)=0,"",_xlfn.XLOOKUP(F81,customers!$B$1:$B$1001,customers!$C$1:$C$1001,,0))</f>
        <v>cgiacomazzo27@jigsy.com</v>
      </c>
      <c r="H81" s="2" t="str">
        <f>_xlfn.XLOOKUP(C81,customers!$A$1:$A$1001,customers!$G$1:$G$1001,,0)</f>
        <v>United States</v>
      </c>
      <c r="I81" t="str">
        <f>_xlfn.XLOOKUP(D81,products!$A$1:$A$49,products!$B$1:$B$49,,0)</f>
        <v>Rob</v>
      </c>
      <c r="J81" t="str">
        <f>_xlfn.XLOOKUP(D81,products!$A$1:$A$49,products!$C$1:$C$49,,0)</f>
        <v>L</v>
      </c>
      <c r="K81" s="5">
        <f>_xlfn.XLOOKUP(D81,products!$A$1:$A$49,products!$D$1:$D$49,,0)</f>
        <v>1</v>
      </c>
      <c r="L81" s="7">
        <f>_xlfn.XLOOKUP(D81,products!$A$1:$A$49,products!$E$1:$E$49,,0)</f>
        <v>11.95</v>
      </c>
      <c r="M81" s="7">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IF(_xlfn.XLOOKUP(F82,customers!$B$1:$B$1001,customers!$C$1:$C$1001,,0)=0,"",_xlfn.XLOOKUP(F82,customers!$B$1:$B$1001,customers!$C$1:$C$1001,,0))</f>
        <v>aarnow28@arizona.edu</v>
      </c>
      <c r="H82" s="2" t="str">
        <f>_xlfn.XLOOKUP(C82,customers!$A$1:$A$1001,customers!$G$1:$G$1001,,0)</f>
        <v>United States</v>
      </c>
      <c r="I82" t="str">
        <f>_xlfn.XLOOKUP(D82,products!$A$1:$A$49,products!$B$1:$B$49,,0)</f>
        <v>Ara</v>
      </c>
      <c r="J82" t="str">
        <f>_xlfn.XLOOKUP(D82,products!$A$1:$A$49,products!$C$1:$C$49,,0)</f>
        <v>L</v>
      </c>
      <c r="K82" s="5">
        <f>_xlfn.XLOOKUP(D82,products!$A$1:$A$49,products!$D$1:$D$49,,0)</f>
        <v>0.5</v>
      </c>
      <c r="L82" s="7">
        <f>_xlfn.XLOOKUP(D82,products!$A$1:$A$49,products!$E$1:$E$49,,0)</f>
        <v>7.77</v>
      </c>
      <c r="M82" s="7">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IF(_xlfn.XLOOKUP(F83,customers!$B$1:$B$1001,customers!$C$1:$C$1001,,0)=0,"",_xlfn.XLOOKUP(F83,customers!$B$1:$B$1001,customers!$C$1:$C$1001,,0))</f>
        <v>syann29@senate.gov</v>
      </c>
      <c r="H83" s="2" t="str">
        <f>_xlfn.XLOOKUP(C83,customers!$A$1:$A$1001,customers!$G$1:$G$1001,,0)</f>
        <v>United States</v>
      </c>
      <c r="I83" t="str">
        <f>_xlfn.XLOOKUP(D83,products!$A$1:$A$49,products!$B$1:$B$49,,0)</f>
        <v>Lib</v>
      </c>
      <c r="J83" t="str">
        <f>_xlfn.XLOOKUP(D83,products!$A$1:$A$49,products!$C$1:$C$49,,0)</f>
        <v>L</v>
      </c>
      <c r="K83" s="5">
        <f>_xlfn.XLOOKUP(D83,products!$A$1:$A$49,products!$D$1:$D$49,,0)</f>
        <v>2.5</v>
      </c>
      <c r="L83" s="7">
        <f>_xlfn.XLOOKUP(D83,products!$A$1:$A$49,products!$E$1:$E$49,,0)</f>
        <v>36.454999999999998</v>
      </c>
      <c r="M83" s="7">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IF(_xlfn.XLOOKUP(F84,customers!$B$1:$B$1001,customers!$C$1:$C$1001,,0)=0,"",_xlfn.XLOOKUP(F84,customers!$B$1:$B$1001,customers!$C$1:$C$1001,,0))</f>
        <v>bnaulls2a@tiny.cc</v>
      </c>
      <c r="H84" s="2" t="str">
        <f>_xlfn.XLOOKUP(C84,customers!$A$1:$A$1001,customers!$G$1:$G$1001,,0)</f>
        <v>Ireland</v>
      </c>
      <c r="I84" t="str">
        <f>_xlfn.XLOOKUP(D84,products!$A$1:$A$49,products!$B$1:$B$49,,0)</f>
        <v>Lib</v>
      </c>
      <c r="J84" t="str">
        <f>_xlfn.XLOOKUP(D84,products!$A$1:$A$49,products!$C$1:$C$49,,0)</f>
        <v>M</v>
      </c>
      <c r="K84" s="5">
        <f>_xlfn.XLOOKUP(D84,products!$A$1:$A$49,products!$D$1:$D$49,,0)</f>
        <v>2.5</v>
      </c>
      <c r="L84" s="7">
        <f>_xlfn.XLOOKUP(D84,products!$A$1:$A$49,products!$E$1:$E$49,,0)</f>
        <v>33.464999999999996</v>
      </c>
      <c r="M84" s="7">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IF(_xlfn.XLOOKUP(F85,customers!$B$1:$B$1001,customers!$C$1:$C$1001,,0)=0,"",_xlfn.XLOOKUP(F85,customers!$B$1:$B$1001,customers!$C$1:$C$1001,,0))</f>
        <v/>
      </c>
      <c r="H85" s="2" t="str">
        <f>_xlfn.XLOOKUP(C85,customers!$A$1:$A$1001,customers!$G$1:$G$1001,,0)</f>
        <v>United States</v>
      </c>
      <c r="I85" t="str">
        <f>_xlfn.XLOOKUP(D85,products!$A$1:$A$49,products!$B$1:$B$49,,0)</f>
        <v>Rob</v>
      </c>
      <c r="J85" t="str">
        <f>_xlfn.XLOOKUP(D85,products!$A$1:$A$49,products!$C$1:$C$49,,0)</f>
        <v>D</v>
      </c>
      <c r="K85" s="5">
        <f>_xlfn.XLOOKUP(D85,products!$A$1:$A$49,products!$D$1:$D$49,,0)</f>
        <v>2.5</v>
      </c>
      <c r="L85" s="7">
        <f>_xlfn.XLOOKUP(D85,products!$A$1:$A$49,products!$E$1:$E$49,,0)</f>
        <v>20.584999999999997</v>
      </c>
      <c r="M85" s="7">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IF(_xlfn.XLOOKUP(F86,customers!$B$1:$B$1001,customers!$C$1:$C$1001,,0)=0,"",_xlfn.XLOOKUP(F86,customers!$B$1:$B$1001,customers!$C$1:$C$1001,,0))</f>
        <v>zsherewood2c@apache.org</v>
      </c>
      <c r="H86" s="2" t="str">
        <f>_xlfn.XLOOKUP(C86,customers!$A$1:$A$1001,customers!$G$1:$G$1001,,0)</f>
        <v>United States</v>
      </c>
      <c r="I86" t="str">
        <f>_xlfn.XLOOKUP(D86,products!$A$1:$A$49,products!$B$1:$B$49,,0)</f>
        <v>Lib</v>
      </c>
      <c r="J86" t="str">
        <f>_xlfn.XLOOKUP(D86,products!$A$1:$A$49,products!$C$1:$C$49,,0)</f>
        <v>L</v>
      </c>
      <c r="K86" s="5">
        <f>_xlfn.XLOOKUP(D86,products!$A$1:$A$49,products!$D$1:$D$49,,0)</f>
        <v>0.5</v>
      </c>
      <c r="L86" s="7">
        <f>_xlfn.XLOOKUP(D86,products!$A$1:$A$49,products!$E$1:$E$49,,0)</f>
        <v>9.51</v>
      </c>
      <c r="M86" s="7">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IF(_xlfn.XLOOKUP(F87,customers!$B$1:$B$1001,customers!$C$1:$C$1001,,0)=0,"",_xlfn.XLOOKUP(F87,customers!$B$1:$B$1001,customers!$C$1:$C$1001,,0))</f>
        <v>jdufaire2d@fc2.com</v>
      </c>
      <c r="H87" s="2" t="str">
        <f>_xlfn.XLOOKUP(C87,customers!$A$1:$A$1001,customers!$G$1:$G$1001,,0)</f>
        <v>United States</v>
      </c>
      <c r="I87" t="str">
        <f>_xlfn.XLOOKUP(D87,products!$A$1:$A$49,products!$B$1:$B$49,,0)</f>
        <v>Ara</v>
      </c>
      <c r="J87" t="str">
        <f>_xlfn.XLOOKUP(D87,products!$A$1:$A$49,products!$C$1:$C$49,,0)</f>
        <v>L</v>
      </c>
      <c r="K87" s="5">
        <f>_xlfn.XLOOKUP(D87,products!$A$1:$A$49,products!$D$1:$D$49,,0)</f>
        <v>2.5</v>
      </c>
      <c r="L87" s="7">
        <f>_xlfn.XLOOKUP(D87,products!$A$1:$A$49,products!$E$1:$E$49,,0)</f>
        <v>29.784999999999997</v>
      </c>
      <c r="M87" s="7">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IF(_xlfn.XLOOKUP(F88,customers!$B$1:$B$1001,customers!$C$1:$C$1001,,0)=0,"",_xlfn.XLOOKUP(F88,customers!$B$1:$B$1001,customers!$C$1:$C$1001,,0))</f>
        <v>jdufaire2d@fc2.com</v>
      </c>
      <c r="H88" s="2" t="str">
        <f>_xlfn.XLOOKUP(C88,customers!$A$1:$A$1001,customers!$G$1:$G$1001,,0)</f>
        <v>United States</v>
      </c>
      <c r="I88" t="str">
        <f>_xlfn.XLOOKUP(D88,products!$A$1:$A$49,products!$B$1:$B$49,,0)</f>
        <v>Ara</v>
      </c>
      <c r="J88" t="str">
        <f>_xlfn.XLOOKUP(D88,products!$A$1:$A$49,products!$C$1:$C$49,,0)</f>
        <v>D</v>
      </c>
      <c r="K88" s="5">
        <f>_xlfn.XLOOKUP(D88,products!$A$1:$A$49,products!$D$1:$D$49,,0)</f>
        <v>0.2</v>
      </c>
      <c r="L88" s="7">
        <f>_xlfn.XLOOKUP(D88,products!$A$1:$A$49,products!$E$1:$E$49,,0)</f>
        <v>2.9849999999999999</v>
      </c>
      <c r="M88" s="7">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IF(_xlfn.XLOOKUP(F89,customers!$B$1:$B$1001,customers!$C$1:$C$1001,,0)=0,"",_xlfn.XLOOKUP(F89,customers!$B$1:$B$1001,customers!$C$1:$C$1001,,0))</f>
        <v>bkeaveney2f@netlog.com</v>
      </c>
      <c r="H89" s="2" t="str">
        <f>_xlfn.XLOOKUP(C89,customers!$A$1:$A$1001,customers!$G$1:$G$1001,,0)</f>
        <v>United States</v>
      </c>
      <c r="I89" t="str">
        <f>_xlfn.XLOOKUP(D89,products!$A$1:$A$49,products!$B$1:$B$49,,0)</f>
        <v>Ara</v>
      </c>
      <c r="J89" t="str">
        <f>_xlfn.XLOOKUP(D89,products!$A$1:$A$49,products!$C$1:$C$49,,0)</f>
        <v>M</v>
      </c>
      <c r="K89" s="5">
        <f>_xlfn.XLOOKUP(D89,products!$A$1:$A$49,products!$D$1:$D$49,,0)</f>
        <v>1</v>
      </c>
      <c r="L89" s="7">
        <f>_xlfn.XLOOKUP(D89,products!$A$1:$A$49,products!$E$1:$E$49,,0)</f>
        <v>11.25</v>
      </c>
      <c r="M89" s="7">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IF(_xlfn.XLOOKUP(F90,customers!$B$1:$B$1001,customers!$C$1:$C$1001,,0)=0,"",_xlfn.XLOOKUP(F90,customers!$B$1:$B$1001,customers!$C$1:$C$1001,,0))</f>
        <v>egrise2g@cargocollective.com</v>
      </c>
      <c r="H90" s="2" t="str">
        <f>_xlfn.XLOOKUP(C90,customers!$A$1:$A$1001,customers!$G$1:$G$1001,,0)</f>
        <v>United States</v>
      </c>
      <c r="I90" t="str">
        <f>_xlfn.XLOOKUP(D90,products!$A$1:$A$49,products!$B$1:$B$49,,0)</f>
        <v>Rob</v>
      </c>
      <c r="J90" t="str">
        <f>_xlfn.XLOOKUP(D90,products!$A$1:$A$49,products!$C$1:$C$49,,0)</f>
        <v>L</v>
      </c>
      <c r="K90" s="5">
        <f>_xlfn.XLOOKUP(D90,products!$A$1:$A$49,products!$D$1:$D$49,,0)</f>
        <v>1</v>
      </c>
      <c r="L90" s="7">
        <f>_xlfn.XLOOKUP(D90,products!$A$1:$A$49,products!$E$1:$E$49,,0)</f>
        <v>11.95</v>
      </c>
      <c r="M90" s="7">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IF(_xlfn.XLOOKUP(F91,customers!$B$1:$B$1001,customers!$C$1:$C$1001,,0)=0,"",_xlfn.XLOOKUP(F91,customers!$B$1:$B$1001,customers!$C$1:$C$1001,,0))</f>
        <v>tgottelier2h@vistaprint.com</v>
      </c>
      <c r="H91" s="2" t="str">
        <f>_xlfn.XLOOKUP(C91,customers!$A$1:$A$1001,customers!$G$1:$G$1001,,0)</f>
        <v>United States</v>
      </c>
      <c r="I91" t="str">
        <f>_xlfn.XLOOKUP(D91,products!$A$1:$A$49,products!$B$1:$B$49,,0)</f>
        <v>Ara</v>
      </c>
      <c r="J91" t="str">
        <f>_xlfn.XLOOKUP(D91,products!$A$1:$A$49,products!$C$1:$C$49,,0)</f>
        <v>L</v>
      </c>
      <c r="K91" s="5">
        <f>_xlfn.XLOOKUP(D91,products!$A$1:$A$49,products!$D$1:$D$49,,0)</f>
        <v>1</v>
      </c>
      <c r="L91" s="7">
        <f>_xlfn.XLOOKUP(D91,products!$A$1:$A$49,products!$E$1:$E$49,,0)</f>
        <v>12.95</v>
      </c>
      <c r="M91" s="7">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IF(_xlfn.XLOOKUP(F92,customers!$B$1:$B$1001,customers!$C$1:$C$1001,,0)=0,"",_xlfn.XLOOKUP(F92,customers!$B$1:$B$1001,customers!$C$1:$C$1001,,0))</f>
        <v/>
      </c>
      <c r="H92" s="2" t="str">
        <f>_xlfn.XLOOKUP(C92,customers!$A$1:$A$1001,customers!$G$1:$G$1001,,0)</f>
        <v>Ireland</v>
      </c>
      <c r="I92" t="str">
        <f>_xlfn.XLOOKUP(D92,products!$A$1:$A$49,products!$B$1:$B$49,,0)</f>
        <v>Ara</v>
      </c>
      <c r="J92" t="str">
        <f>_xlfn.XLOOKUP(D92,products!$A$1:$A$49,products!$C$1:$C$49,,0)</f>
        <v>L</v>
      </c>
      <c r="K92" s="5">
        <f>_xlfn.XLOOKUP(D92,products!$A$1:$A$49,products!$D$1:$D$49,,0)</f>
        <v>1</v>
      </c>
      <c r="L92" s="7">
        <f>_xlfn.XLOOKUP(D92,products!$A$1:$A$49,products!$E$1:$E$49,,0)</f>
        <v>12.95</v>
      </c>
      <c r="M92" s="7">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IF(_xlfn.XLOOKUP(F93,customers!$B$1:$B$1001,customers!$C$1:$C$1001,,0)=0,"",_xlfn.XLOOKUP(F93,customers!$B$1:$B$1001,customers!$C$1:$C$1001,,0))</f>
        <v>agreenhead2j@dailymail.co.uk</v>
      </c>
      <c r="H93" s="2" t="str">
        <f>_xlfn.XLOOKUP(C93,customers!$A$1:$A$1001,customers!$G$1:$G$1001,,0)</f>
        <v>United States</v>
      </c>
      <c r="I93" t="str">
        <f>_xlfn.XLOOKUP(D93,products!$A$1:$A$49,products!$B$1:$B$49,,0)</f>
        <v>Ara</v>
      </c>
      <c r="J93" t="str">
        <f>_xlfn.XLOOKUP(D93,products!$A$1:$A$49,products!$C$1:$C$49,,0)</f>
        <v>M</v>
      </c>
      <c r="K93" s="5">
        <f>_xlfn.XLOOKUP(D93,products!$A$1:$A$49,products!$D$1:$D$49,,0)</f>
        <v>2.5</v>
      </c>
      <c r="L93" s="7">
        <f>_xlfn.XLOOKUP(D93,products!$A$1:$A$49,products!$E$1:$E$49,,0)</f>
        <v>25.874999999999996</v>
      </c>
      <c r="M93" s="7">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IF(_xlfn.XLOOKUP(F94,customers!$B$1:$B$1001,customers!$C$1:$C$1001,,0)=0,"",_xlfn.XLOOKUP(F94,customers!$B$1:$B$1001,customers!$C$1:$C$1001,,0))</f>
        <v/>
      </c>
      <c r="H94" s="2" t="str">
        <f>_xlfn.XLOOKUP(C94,customers!$A$1:$A$1001,customers!$G$1:$G$1001,,0)</f>
        <v>United States</v>
      </c>
      <c r="I94" t="str">
        <f>_xlfn.XLOOKUP(D94,products!$A$1:$A$49,products!$B$1:$B$49,,0)</f>
        <v>Exc</v>
      </c>
      <c r="J94" t="str">
        <f>_xlfn.XLOOKUP(D94,products!$A$1:$A$49,products!$C$1:$C$49,,0)</f>
        <v>L</v>
      </c>
      <c r="K94" s="5">
        <f>_xlfn.XLOOKUP(D94,products!$A$1:$A$49,products!$D$1:$D$49,,0)</f>
        <v>1</v>
      </c>
      <c r="L94" s="7">
        <f>_xlfn.XLOOKUP(D94,products!$A$1:$A$49,products!$E$1:$E$49,,0)</f>
        <v>14.85</v>
      </c>
      <c r="M94" s="7">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IF(_xlfn.XLOOKUP(F95,customers!$B$1:$B$1001,customers!$C$1:$C$1001,,0)=0,"",_xlfn.XLOOKUP(F95,customers!$B$1:$B$1001,customers!$C$1:$C$1001,,0))</f>
        <v>elangcaster2l@spotify.com</v>
      </c>
      <c r="H95" s="2" t="str">
        <f>_xlfn.XLOOKUP(C95,customers!$A$1:$A$1001,customers!$G$1:$G$1001,,0)</f>
        <v>United Kingdom</v>
      </c>
      <c r="I95" t="str">
        <f>_xlfn.XLOOKUP(D95,products!$A$1:$A$49,products!$B$1:$B$49,,0)</f>
        <v>Exc</v>
      </c>
      <c r="J95" t="str">
        <f>_xlfn.XLOOKUP(D95,products!$A$1:$A$49,products!$C$1:$C$49,,0)</f>
        <v>L</v>
      </c>
      <c r="K95" s="5">
        <f>_xlfn.XLOOKUP(D95,products!$A$1:$A$49,products!$D$1:$D$49,,0)</f>
        <v>0.5</v>
      </c>
      <c r="L95" s="7">
        <f>_xlfn.XLOOKUP(D95,products!$A$1:$A$49,products!$E$1:$E$49,,0)</f>
        <v>8.91</v>
      </c>
      <c r="M95" s="7">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IF(_xlfn.XLOOKUP(F96,customers!$B$1:$B$1001,customers!$C$1:$C$1001,,0)=0,"",_xlfn.XLOOKUP(F96,customers!$B$1:$B$1001,customers!$C$1:$C$1001,,0))</f>
        <v/>
      </c>
      <c r="H96" s="2" t="str">
        <f>_xlfn.XLOOKUP(C96,customers!$A$1:$A$1001,customers!$G$1:$G$1001,,0)</f>
        <v>Ireland</v>
      </c>
      <c r="I96" t="str">
        <f>_xlfn.XLOOKUP(D96,products!$A$1:$A$49,products!$B$1:$B$49,,0)</f>
        <v>Ara</v>
      </c>
      <c r="J96" t="str">
        <f>_xlfn.XLOOKUP(D96,products!$A$1:$A$49,products!$C$1:$C$49,,0)</f>
        <v>D</v>
      </c>
      <c r="K96" s="5">
        <f>_xlfn.XLOOKUP(D96,products!$A$1:$A$49,products!$D$1:$D$49,,0)</f>
        <v>0.2</v>
      </c>
      <c r="L96" s="7">
        <f>_xlfn.XLOOKUP(D96,products!$A$1:$A$49,products!$E$1:$E$49,,0)</f>
        <v>2.9849999999999999</v>
      </c>
      <c r="M96" s="7">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IF(_xlfn.XLOOKUP(F97,customers!$B$1:$B$1001,customers!$C$1:$C$1001,,0)=0,"",_xlfn.XLOOKUP(F97,customers!$B$1:$B$1001,customers!$C$1:$C$1001,,0))</f>
        <v>nmagauran2n@51.la</v>
      </c>
      <c r="H97" s="2" t="str">
        <f>_xlfn.XLOOKUP(C97,customers!$A$1:$A$1001,customers!$G$1:$G$1001,,0)</f>
        <v>United States</v>
      </c>
      <c r="I97" t="str">
        <f>_xlfn.XLOOKUP(D97,products!$A$1:$A$49,products!$B$1:$B$49,,0)</f>
        <v>Ara</v>
      </c>
      <c r="J97" t="str">
        <f>_xlfn.XLOOKUP(D97,products!$A$1:$A$49,products!$C$1:$C$49,,0)</f>
        <v>M</v>
      </c>
      <c r="K97" s="5">
        <f>_xlfn.XLOOKUP(D97,products!$A$1:$A$49,products!$D$1:$D$49,,0)</f>
        <v>2.5</v>
      </c>
      <c r="L97" s="7">
        <f>_xlfn.XLOOKUP(D97,products!$A$1:$A$49,products!$E$1:$E$49,,0)</f>
        <v>25.874999999999996</v>
      </c>
      <c r="M97" s="7">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IF(_xlfn.XLOOKUP(F98,customers!$B$1:$B$1001,customers!$C$1:$C$1001,,0)=0,"",_xlfn.XLOOKUP(F98,customers!$B$1:$B$1001,customers!$C$1:$C$1001,,0))</f>
        <v>vkirdsch2o@google.fr</v>
      </c>
      <c r="H98" s="2" t="str">
        <f>_xlfn.XLOOKUP(C98,customers!$A$1:$A$1001,customers!$G$1:$G$1001,,0)</f>
        <v>United States</v>
      </c>
      <c r="I98" t="str">
        <f>_xlfn.XLOOKUP(D98,products!$A$1:$A$49,products!$B$1:$B$49,,0)</f>
        <v>Ara</v>
      </c>
      <c r="J98" t="str">
        <f>_xlfn.XLOOKUP(D98,products!$A$1:$A$49,products!$C$1:$C$49,,0)</f>
        <v>D</v>
      </c>
      <c r="K98" s="5">
        <f>_xlfn.XLOOKUP(D98,products!$A$1:$A$49,products!$D$1:$D$49,,0)</f>
        <v>0.2</v>
      </c>
      <c r="L98" s="7">
        <f>_xlfn.XLOOKUP(D98,products!$A$1:$A$49,products!$E$1:$E$49,,0)</f>
        <v>2.9849999999999999</v>
      </c>
      <c r="M98" s="7">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IF(_xlfn.XLOOKUP(F99,customers!$B$1:$B$1001,customers!$C$1:$C$1001,,0)=0,"",_xlfn.XLOOKUP(F99,customers!$B$1:$B$1001,customers!$C$1:$C$1001,,0))</f>
        <v>iwhapple2p@com.com</v>
      </c>
      <c r="H99" s="2" t="str">
        <f>_xlfn.XLOOKUP(C99,customers!$A$1:$A$1001,customers!$G$1:$G$1001,,0)</f>
        <v>United States</v>
      </c>
      <c r="I99" t="str">
        <f>_xlfn.XLOOKUP(D99,products!$A$1:$A$49,products!$B$1:$B$49,,0)</f>
        <v>Ara</v>
      </c>
      <c r="J99" t="str">
        <f>_xlfn.XLOOKUP(D99,products!$A$1:$A$49,products!$C$1:$C$49,,0)</f>
        <v>M</v>
      </c>
      <c r="K99" s="5">
        <f>_xlfn.XLOOKUP(D99,products!$A$1:$A$49,products!$D$1:$D$49,,0)</f>
        <v>0.5</v>
      </c>
      <c r="L99" s="7">
        <f>_xlfn.XLOOKUP(D99,products!$A$1:$A$49,products!$E$1:$E$49,,0)</f>
        <v>6.75</v>
      </c>
      <c r="M99" s="7">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IF(_xlfn.XLOOKUP(F100,customers!$B$1:$B$1001,customers!$C$1:$C$1001,,0)=0,"",_xlfn.XLOOKUP(F100,customers!$B$1:$B$1001,customers!$C$1:$C$1001,,0))</f>
        <v/>
      </c>
      <c r="H100" s="2" t="str">
        <f>_xlfn.XLOOKUP(C100,customers!$A$1:$A$1001,customers!$G$1:$G$1001,,0)</f>
        <v>Ireland</v>
      </c>
      <c r="I100" t="str">
        <f>_xlfn.XLOOKUP(D100,products!$A$1:$A$49,products!$B$1:$B$49,,0)</f>
        <v>Ara</v>
      </c>
      <c r="J100" t="str">
        <f>_xlfn.XLOOKUP(D100,products!$A$1:$A$49,products!$C$1:$C$49,,0)</f>
        <v>D</v>
      </c>
      <c r="K100" s="5">
        <f>_xlfn.XLOOKUP(D100,products!$A$1:$A$49,products!$D$1:$D$49,,0)</f>
        <v>0.2</v>
      </c>
      <c r="L100" s="7">
        <f>_xlfn.XLOOKUP(D100,products!$A$1:$A$49,products!$E$1:$E$49,,0)</f>
        <v>2.9849999999999999</v>
      </c>
      <c r="M100" s="7">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IF(_xlfn.XLOOKUP(F101,customers!$B$1:$B$1001,customers!$C$1:$C$1001,,0)=0,"",_xlfn.XLOOKUP(F101,customers!$B$1:$B$1001,customers!$C$1:$C$1001,,0))</f>
        <v/>
      </c>
      <c r="H101" s="2" t="str">
        <f>_xlfn.XLOOKUP(C101,customers!$A$1:$A$1001,customers!$G$1:$G$1001,,0)</f>
        <v>United States</v>
      </c>
      <c r="I101" t="str">
        <f>_xlfn.XLOOKUP(D101,products!$A$1:$A$49,products!$B$1:$B$49,,0)</f>
        <v>Lib</v>
      </c>
      <c r="J101" t="str">
        <f>_xlfn.XLOOKUP(D101,products!$A$1:$A$49,products!$C$1:$C$49,,0)</f>
        <v>M</v>
      </c>
      <c r="K101" s="5">
        <f>_xlfn.XLOOKUP(D101,products!$A$1:$A$49,products!$D$1:$D$49,,0)</f>
        <v>0.2</v>
      </c>
      <c r="L101" s="7">
        <f>_xlfn.XLOOKUP(D101,products!$A$1:$A$49,products!$E$1:$E$49,,0)</f>
        <v>4.3650000000000002</v>
      </c>
      <c r="M101" s="7">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IF(_xlfn.XLOOKUP(F102,customers!$B$1:$B$1001,customers!$C$1:$C$1001,,0)=0,"",_xlfn.XLOOKUP(F102,customers!$B$1:$B$1001,customers!$C$1:$C$1001,,0))</f>
        <v/>
      </c>
      <c r="H102" s="2" t="str">
        <f>_xlfn.XLOOKUP(C102,customers!$A$1:$A$1001,customers!$G$1:$G$1001,,0)</f>
        <v>United States</v>
      </c>
      <c r="I102" t="str">
        <f>_xlfn.XLOOKUP(D102,products!$A$1:$A$49,products!$B$1:$B$49,,0)</f>
        <v>Ara</v>
      </c>
      <c r="J102" t="str">
        <f>_xlfn.XLOOKUP(D102,products!$A$1:$A$49,products!$C$1:$C$49,,0)</f>
        <v>L</v>
      </c>
      <c r="K102" s="5">
        <f>_xlfn.XLOOKUP(D102,products!$A$1:$A$49,products!$D$1:$D$49,,0)</f>
        <v>0.2</v>
      </c>
      <c r="L102" s="7">
        <f>_xlfn.XLOOKUP(D102,products!$A$1:$A$49,products!$E$1:$E$49,,0)</f>
        <v>3.8849999999999998</v>
      </c>
      <c r="M102" s="7">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IF(_xlfn.XLOOKUP(F103,customers!$B$1:$B$1001,customers!$C$1:$C$1001,,0)=0,"",_xlfn.XLOOKUP(F103,customers!$B$1:$B$1001,customers!$C$1:$C$1001,,0))</f>
        <v>nyoules2t@reference.com</v>
      </c>
      <c r="H103" s="2" t="str">
        <f>_xlfn.XLOOKUP(C103,customers!$A$1:$A$1001,customers!$G$1:$G$1001,,0)</f>
        <v>Ireland</v>
      </c>
      <c r="I103" t="str">
        <f>_xlfn.XLOOKUP(D103,products!$A$1:$A$49,products!$B$1:$B$49,,0)</f>
        <v>Lib</v>
      </c>
      <c r="J103" t="str">
        <f>_xlfn.XLOOKUP(D103,products!$A$1:$A$49,products!$C$1:$C$49,,0)</f>
        <v>D</v>
      </c>
      <c r="K103" s="5">
        <f>_xlfn.XLOOKUP(D103,products!$A$1:$A$49,products!$D$1:$D$49,,0)</f>
        <v>2.5</v>
      </c>
      <c r="L103" s="7">
        <f>_xlfn.XLOOKUP(D103,products!$A$1:$A$49,products!$E$1:$E$49,,0)</f>
        <v>29.784999999999997</v>
      </c>
      <c r="M103" s="7">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IF(_xlfn.XLOOKUP(F104,customers!$B$1:$B$1001,customers!$C$1:$C$1001,,0)=0,"",_xlfn.XLOOKUP(F104,customers!$B$1:$B$1001,customers!$C$1:$C$1001,,0))</f>
        <v>daizikovitz2u@answers.com</v>
      </c>
      <c r="H104" s="2" t="str">
        <f>_xlfn.XLOOKUP(C104,customers!$A$1:$A$1001,customers!$G$1:$G$1001,,0)</f>
        <v>Ireland</v>
      </c>
      <c r="I104" t="str">
        <f>_xlfn.XLOOKUP(D104,products!$A$1:$A$49,products!$B$1:$B$49,,0)</f>
        <v>Lib</v>
      </c>
      <c r="J104" t="str">
        <f>_xlfn.XLOOKUP(D104,products!$A$1:$A$49,products!$C$1:$C$49,,0)</f>
        <v>D</v>
      </c>
      <c r="K104" s="5">
        <f>_xlfn.XLOOKUP(D104,products!$A$1:$A$49,products!$D$1:$D$49,,0)</f>
        <v>1</v>
      </c>
      <c r="L104" s="7">
        <f>_xlfn.XLOOKUP(D104,products!$A$1:$A$49,products!$E$1:$E$49,,0)</f>
        <v>12.95</v>
      </c>
      <c r="M104" s="7">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IF(_xlfn.XLOOKUP(F105,customers!$B$1:$B$1001,customers!$C$1:$C$1001,,0)=0,"",_xlfn.XLOOKUP(F105,customers!$B$1:$B$1001,customers!$C$1:$C$1001,,0))</f>
        <v>brevel2v@fastcompany.com</v>
      </c>
      <c r="H105" s="2" t="str">
        <f>_xlfn.XLOOKUP(C105,customers!$A$1:$A$1001,customers!$G$1:$G$1001,,0)</f>
        <v>United States</v>
      </c>
      <c r="I105" t="str">
        <f>_xlfn.XLOOKUP(D105,products!$A$1:$A$49,products!$B$1:$B$49,,0)</f>
        <v>Rob</v>
      </c>
      <c r="J105" t="str">
        <f>_xlfn.XLOOKUP(D105,products!$A$1:$A$49,products!$C$1:$C$49,,0)</f>
        <v>M</v>
      </c>
      <c r="K105" s="5">
        <f>_xlfn.XLOOKUP(D105,products!$A$1:$A$49,products!$D$1:$D$49,,0)</f>
        <v>0.2</v>
      </c>
      <c r="L105" s="7">
        <f>_xlfn.XLOOKUP(D105,products!$A$1:$A$49,products!$E$1:$E$49,,0)</f>
        <v>2.9849999999999999</v>
      </c>
      <c r="M105" s="7">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IF(_xlfn.XLOOKUP(F106,customers!$B$1:$B$1001,customers!$C$1:$C$1001,,0)=0,"",_xlfn.XLOOKUP(F106,customers!$B$1:$B$1001,customers!$C$1:$C$1001,,0))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5">
        <f>_xlfn.XLOOKUP(D106,products!$A$1:$A$49,products!$D$1:$D$49,,0)</f>
        <v>1</v>
      </c>
      <c r="L106" s="7">
        <f>_xlfn.XLOOKUP(D106,products!$A$1:$A$49,products!$E$1:$E$49,,0)</f>
        <v>14.55</v>
      </c>
      <c r="M106" s="7">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IF(_xlfn.XLOOKUP(F107,customers!$B$1:$B$1001,customers!$C$1:$C$1001,,0)=0,"",_xlfn.XLOOKUP(F107,customers!$B$1:$B$1001,customers!$C$1:$C$1001,,0))</f>
        <v>qveel2x@jugem.jp</v>
      </c>
      <c r="H107" s="2" t="str">
        <f>_xlfn.XLOOKUP(C107,customers!$A$1:$A$1001,customers!$G$1:$G$1001,,0)</f>
        <v>United States</v>
      </c>
      <c r="I107" t="str">
        <f>_xlfn.XLOOKUP(D107,products!$A$1:$A$49,products!$B$1:$B$49,,0)</f>
        <v>Ara</v>
      </c>
      <c r="J107" t="str">
        <f>_xlfn.XLOOKUP(D107,products!$A$1:$A$49,products!$C$1:$C$49,,0)</f>
        <v>M</v>
      </c>
      <c r="K107" s="5">
        <f>_xlfn.XLOOKUP(D107,products!$A$1:$A$49,products!$D$1:$D$49,,0)</f>
        <v>0.5</v>
      </c>
      <c r="L107" s="7">
        <f>_xlfn.XLOOKUP(D107,products!$A$1:$A$49,products!$E$1:$E$49,,0)</f>
        <v>6.75</v>
      </c>
      <c r="M107" s="7">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IF(_xlfn.XLOOKUP(F108,customers!$B$1:$B$1001,customers!$C$1:$C$1001,,0)=0,"",_xlfn.XLOOKUP(F108,customers!$B$1:$B$1001,customers!$C$1:$C$1001,,0))</f>
        <v>lconyers2y@twitter.com</v>
      </c>
      <c r="H108" s="2" t="str">
        <f>_xlfn.XLOOKUP(C108,customers!$A$1:$A$1001,customers!$G$1:$G$1001,,0)</f>
        <v>United States</v>
      </c>
      <c r="I108" t="str">
        <f>_xlfn.XLOOKUP(D108,products!$A$1:$A$49,products!$B$1:$B$49,,0)</f>
        <v>Exc</v>
      </c>
      <c r="J108" t="str">
        <f>_xlfn.XLOOKUP(D108,products!$A$1:$A$49,products!$C$1:$C$49,,0)</f>
        <v>D</v>
      </c>
      <c r="K108" s="5">
        <f>_xlfn.XLOOKUP(D108,products!$A$1:$A$49,products!$D$1:$D$49,,0)</f>
        <v>1</v>
      </c>
      <c r="L108" s="7">
        <f>_xlfn.XLOOKUP(D108,products!$A$1:$A$49,products!$E$1:$E$49,,0)</f>
        <v>12.15</v>
      </c>
      <c r="M108" s="7">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IF(_xlfn.XLOOKUP(F109,customers!$B$1:$B$1001,customers!$C$1:$C$1001,,0)=0,"",_xlfn.XLOOKUP(F109,customers!$B$1:$B$1001,customers!$C$1:$C$1001,,0))</f>
        <v>pwye2z@dagondesign.com</v>
      </c>
      <c r="H109" s="2" t="str">
        <f>_xlfn.XLOOKUP(C109,customers!$A$1:$A$1001,customers!$G$1:$G$1001,,0)</f>
        <v>United States</v>
      </c>
      <c r="I109" t="str">
        <f>_xlfn.XLOOKUP(D109,products!$A$1:$A$49,products!$B$1:$B$49,,0)</f>
        <v>Rob</v>
      </c>
      <c r="J109" t="str">
        <f>_xlfn.XLOOKUP(D109,products!$A$1:$A$49,products!$C$1:$C$49,,0)</f>
        <v>M</v>
      </c>
      <c r="K109" s="5">
        <f>_xlfn.XLOOKUP(D109,products!$A$1:$A$49,products!$D$1:$D$49,,0)</f>
        <v>0.5</v>
      </c>
      <c r="L109" s="7">
        <f>_xlfn.XLOOKUP(D109,products!$A$1:$A$49,products!$E$1:$E$49,,0)</f>
        <v>5.97</v>
      </c>
      <c r="M109" s="7">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IF(_xlfn.XLOOKUP(F110,customers!$B$1:$B$1001,customers!$C$1:$C$1001,,0)=0,"",_xlfn.XLOOKUP(F110,customers!$B$1:$B$1001,customers!$C$1:$C$1001,,0))</f>
        <v/>
      </c>
      <c r="H110" s="2" t="str">
        <f>_xlfn.XLOOKUP(C110,customers!$A$1:$A$1001,customers!$G$1:$G$1001,,0)</f>
        <v>United States</v>
      </c>
      <c r="I110" t="str">
        <f>_xlfn.XLOOKUP(D110,products!$A$1:$A$49,products!$B$1:$B$49,,0)</f>
        <v>Ara</v>
      </c>
      <c r="J110" t="str">
        <f>_xlfn.XLOOKUP(D110,products!$A$1:$A$49,products!$C$1:$C$49,,0)</f>
        <v>M</v>
      </c>
      <c r="K110" s="5">
        <f>_xlfn.XLOOKUP(D110,products!$A$1:$A$49,products!$D$1:$D$49,,0)</f>
        <v>0.5</v>
      </c>
      <c r="L110" s="7">
        <f>_xlfn.XLOOKUP(D110,products!$A$1:$A$49,products!$E$1:$E$49,,0)</f>
        <v>6.75</v>
      </c>
      <c r="M110" s="7">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IF(_xlfn.XLOOKUP(F111,customers!$B$1:$B$1001,customers!$C$1:$C$1001,,0)=0,"",_xlfn.XLOOKUP(F111,customers!$B$1:$B$1001,customers!$C$1:$C$1001,,0))</f>
        <v>tsheryn31@mtv.com</v>
      </c>
      <c r="H111" s="2" t="str">
        <f>_xlfn.XLOOKUP(C111,customers!$A$1:$A$1001,customers!$G$1:$G$1001,,0)</f>
        <v>United States</v>
      </c>
      <c r="I111" t="str">
        <f>_xlfn.XLOOKUP(D111,products!$A$1:$A$49,products!$B$1:$B$49,,0)</f>
        <v>Lib</v>
      </c>
      <c r="J111" t="str">
        <f>_xlfn.XLOOKUP(D111,products!$A$1:$A$49,products!$C$1:$C$49,,0)</f>
        <v>D</v>
      </c>
      <c r="K111" s="5">
        <f>_xlfn.XLOOKUP(D111,products!$A$1:$A$49,products!$D$1:$D$49,,0)</f>
        <v>0.5</v>
      </c>
      <c r="L111" s="7">
        <f>_xlfn.XLOOKUP(D111,products!$A$1:$A$49,products!$E$1:$E$49,,0)</f>
        <v>7.77</v>
      </c>
      <c r="M111" s="7">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IF(_xlfn.XLOOKUP(F112,customers!$B$1:$B$1001,customers!$C$1:$C$1001,,0)=0,"",_xlfn.XLOOKUP(F112,customers!$B$1:$B$1001,customers!$C$1:$C$1001,,0))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5">
        <f>_xlfn.XLOOKUP(D112,products!$A$1:$A$49,products!$D$1:$D$49,,0)</f>
        <v>0.2</v>
      </c>
      <c r="L112" s="7">
        <f>_xlfn.XLOOKUP(D112,products!$A$1:$A$49,products!$E$1:$E$49,,0)</f>
        <v>4.4550000000000001</v>
      </c>
      <c r="M112" s="7">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IF(_xlfn.XLOOKUP(F113,customers!$B$1:$B$1001,customers!$C$1:$C$1001,,0)=0,"",_xlfn.XLOOKUP(F113,customers!$B$1:$B$1001,customers!$C$1:$C$1001,,0))</f>
        <v>bfominov33@yale.edu</v>
      </c>
      <c r="H113" s="2" t="str">
        <f>_xlfn.XLOOKUP(C113,customers!$A$1:$A$1001,customers!$G$1:$G$1001,,0)</f>
        <v>United States</v>
      </c>
      <c r="I113" t="str">
        <f>_xlfn.XLOOKUP(D113,products!$A$1:$A$49,products!$B$1:$B$49,,0)</f>
        <v>Rob</v>
      </c>
      <c r="J113" t="str">
        <f>_xlfn.XLOOKUP(D113,products!$A$1:$A$49,products!$C$1:$C$49,,0)</f>
        <v>D</v>
      </c>
      <c r="K113" s="5">
        <f>_xlfn.XLOOKUP(D113,products!$A$1:$A$49,products!$D$1:$D$49,,0)</f>
        <v>0.5</v>
      </c>
      <c r="L113" s="7">
        <f>_xlfn.XLOOKUP(D113,products!$A$1:$A$49,products!$E$1:$E$49,,0)</f>
        <v>5.3699999999999992</v>
      </c>
      <c r="M113" s="7">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IF(_xlfn.XLOOKUP(F114,customers!$B$1:$B$1001,customers!$C$1:$C$1001,,0)=0,"",_xlfn.XLOOKUP(F114,customers!$B$1:$B$1001,customers!$C$1:$C$1001,,0))</f>
        <v>scritchlow34@un.org</v>
      </c>
      <c r="H114" s="2" t="str">
        <f>_xlfn.XLOOKUP(C114,customers!$A$1:$A$1001,customers!$G$1:$G$1001,,0)</f>
        <v>United States</v>
      </c>
      <c r="I114" t="str">
        <f>_xlfn.XLOOKUP(D114,products!$A$1:$A$49,products!$B$1:$B$49,,0)</f>
        <v>Ara</v>
      </c>
      <c r="J114" t="str">
        <f>_xlfn.XLOOKUP(D114,products!$A$1:$A$49,products!$C$1:$C$49,,0)</f>
        <v>M</v>
      </c>
      <c r="K114" s="5">
        <f>_xlfn.XLOOKUP(D114,products!$A$1:$A$49,products!$D$1:$D$49,,0)</f>
        <v>1</v>
      </c>
      <c r="L114" s="7">
        <f>_xlfn.XLOOKUP(D114,products!$A$1:$A$49,products!$E$1:$E$49,,0)</f>
        <v>11.25</v>
      </c>
      <c r="M114" s="7">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IF(_xlfn.XLOOKUP(F115,customers!$B$1:$B$1001,customers!$C$1:$C$1001,,0)=0,"",_xlfn.XLOOKUP(F115,customers!$B$1:$B$1001,customers!$C$1:$C$1001,,0))</f>
        <v>msteptow35@earthlink.net</v>
      </c>
      <c r="H115" s="2" t="str">
        <f>_xlfn.XLOOKUP(C115,customers!$A$1:$A$1001,customers!$G$1:$G$1001,,0)</f>
        <v>Ireland</v>
      </c>
      <c r="I115" t="str">
        <f>_xlfn.XLOOKUP(D115,products!$A$1:$A$49,products!$B$1:$B$49,,0)</f>
        <v>Lib</v>
      </c>
      <c r="J115" t="str">
        <f>_xlfn.XLOOKUP(D115,products!$A$1:$A$49,products!$C$1:$C$49,,0)</f>
        <v>M</v>
      </c>
      <c r="K115" s="5">
        <f>_xlfn.XLOOKUP(D115,products!$A$1:$A$49,products!$D$1:$D$49,,0)</f>
        <v>1</v>
      </c>
      <c r="L115" s="7">
        <f>_xlfn.XLOOKUP(D115,products!$A$1:$A$49,products!$E$1:$E$49,,0)</f>
        <v>14.55</v>
      </c>
      <c r="M115" s="7">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IF(_xlfn.XLOOKUP(F116,customers!$B$1:$B$1001,customers!$C$1:$C$1001,,0)=0,"",_xlfn.XLOOKUP(F116,customers!$B$1:$B$1001,customers!$C$1:$C$1001,,0))</f>
        <v/>
      </c>
      <c r="H116" s="2" t="str">
        <f>_xlfn.XLOOKUP(C116,customers!$A$1:$A$1001,customers!$G$1:$G$1001,,0)</f>
        <v>United States</v>
      </c>
      <c r="I116" t="str">
        <f>_xlfn.XLOOKUP(D116,products!$A$1:$A$49,products!$B$1:$B$49,,0)</f>
        <v>Rob</v>
      </c>
      <c r="J116" t="str">
        <f>_xlfn.XLOOKUP(D116,products!$A$1:$A$49,products!$C$1:$C$49,,0)</f>
        <v>L</v>
      </c>
      <c r="K116" s="5">
        <f>_xlfn.XLOOKUP(D116,products!$A$1:$A$49,products!$D$1:$D$49,,0)</f>
        <v>0.2</v>
      </c>
      <c r="L116" s="7">
        <f>_xlfn.XLOOKUP(D116,products!$A$1:$A$49,products!$E$1:$E$49,,0)</f>
        <v>3.5849999999999995</v>
      </c>
      <c r="M116" s="7">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IF(_xlfn.XLOOKUP(F117,customers!$B$1:$B$1001,customers!$C$1:$C$1001,,0)=0,"",_xlfn.XLOOKUP(F117,customers!$B$1:$B$1001,customers!$C$1:$C$1001,,0))</f>
        <v>imulliner37@pinterest.com</v>
      </c>
      <c r="H117" s="2" t="str">
        <f>_xlfn.XLOOKUP(C117,customers!$A$1:$A$1001,customers!$G$1:$G$1001,,0)</f>
        <v>United Kingdom</v>
      </c>
      <c r="I117" t="str">
        <f>_xlfn.XLOOKUP(D117,products!$A$1:$A$49,products!$B$1:$B$49,,0)</f>
        <v>Lib</v>
      </c>
      <c r="J117" t="str">
        <f>_xlfn.XLOOKUP(D117,products!$A$1:$A$49,products!$C$1:$C$49,,0)</f>
        <v>L</v>
      </c>
      <c r="K117" s="5">
        <f>_xlfn.XLOOKUP(D117,products!$A$1:$A$49,products!$D$1:$D$49,,0)</f>
        <v>1</v>
      </c>
      <c r="L117" s="7">
        <f>_xlfn.XLOOKUP(D117,products!$A$1:$A$49,products!$E$1:$E$49,,0)</f>
        <v>15.85</v>
      </c>
      <c r="M117" s="7">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IF(_xlfn.XLOOKUP(F118,customers!$B$1:$B$1001,customers!$C$1:$C$1001,,0)=0,"",_xlfn.XLOOKUP(F118,customers!$B$1:$B$1001,customers!$C$1:$C$1001,,0))</f>
        <v>gstandley38@dion.ne.jp</v>
      </c>
      <c r="H118" s="2" t="str">
        <f>_xlfn.XLOOKUP(C118,customers!$A$1:$A$1001,customers!$G$1:$G$1001,,0)</f>
        <v>Ireland</v>
      </c>
      <c r="I118" t="str">
        <f>_xlfn.XLOOKUP(D118,products!$A$1:$A$49,products!$B$1:$B$49,,0)</f>
        <v>Lib</v>
      </c>
      <c r="J118" t="str">
        <f>_xlfn.XLOOKUP(D118,products!$A$1:$A$49,products!$C$1:$C$49,,0)</f>
        <v>L</v>
      </c>
      <c r="K118" s="5">
        <f>_xlfn.XLOOKUP(D118,products!$A$1:$A$49,products!$D$1:$D$49,,0)</f>
        <v>0.2</v>
      </c>
      <c r="L118" s="7">
        <f>_xlfn.XLOOKUP(D118,products!$A$1:$A$49,products!$E$1:$E$49,,0)</f>
        <v>4.7549999999999999</v>
      </c>
      <c r="M118" s="7">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IF(_xlfn.XLOOKUP(F119,customers!$B$1:$B$1001,customers!$C$1:$C$1001,,0)=0,"",_xlfn.XLOOKUP(F119,customers!$B$1:$B$1001,customers!$C$1:$C$1001,,0))</f>
        <v>bdrage39@youku.com</v>
      </c>
      <c r="H119" s="2" t="str">
        <f>_xlfn.XLOOKUP(C119,customers!$A$1:$A$1001,customers!$G$1:$G$1001,,0)</f>
        <v>United States</v>
      </c>
      <c r="I119" t="str">
        <f>_xlfn.XLOOKUP(D119,products!$A$1:$A$49,products!$B$1:$B$49,,0)</f>
        <v>Lib</v>
      </c>
      <c r="J119" t="str">
        <f>_xlfn.XLOOKUP(D119,products!$A$1:$A$49,products!$C$1:$C$49,,0)</f>
        <v>L</v>
      </c>
      <c r="K119" s="5">
        <f>_xlfn.XLOOKUP(D119,products!$A$1:$A$49,products!$D$1:$D$49,,0)</f>
        <v>0.5</v>
      </c>
      <c r="L119" s="7">
        <f>_xlfn.XLOOKUP(D119,products!$A$1:$A$49,products!$E$1:$E$49,,0)</f>
        <v>9.51</v>
      </c>
      <c r="M119" s="7">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IF(_xlfn.XLOOKUP(F120,customers!$B$1:$B$1001,customers!$C$1:$C$1001,,0)=0,"",_xlfn.XLOOKUP(F120,customers!$B$1:$B$1001,customers!$C$1:$C$1001,,0))</f>
        <v>myallop3a@fema.gov</v>
      </c>
      <c r="H120" s="2" t="str">
        <f>_xlfn.XLOOKUP(C120,customers!$A$1:$A$1001,customers!$G$1:$G$1001,,0)</f>
        <v>United States</v>
      </c>
      <c r="I120" t="str">
        <f>_xlfn.XLOOKUP(D120,products!$A$1:$A$49,products!$B$1:$B$49,,0)</f>
        <v>Exc</v>
      </c>
      <c r="J120" t="str">
        <f>_xlfn.XLOOKUP(D120,products!$A$1:$A$49,products!$C$1:$C$49,,0)</f>
        <v>D</v>
      </c>
      <c r="K120" s="5">
        <f>_xlfn.XLOOKUP(D120,products!$A$1:$A$49,products!$D$1:$D$49,,0)</f>
        <v>0.5</v>
      </c>
      <c r="L120" s="7">
        <f>_xlfn.XLOOKUP(D120,products!$A$1:$A$49,products!$E$1:$E$49,,0)</f>
        <v>7.29</v>
      </c>
      <c r="M120" s="7">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IF(_xlfn.XLOOKUP(F121,customers!$B$1:$B$1001,customers!$C$1:$C$1001,,0)=0,"",_xlfn.XLOOKUP(F121,customers!$B$1:$B$1001,customers!$C$1:$C$1001,,0))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5">
        <f>_xlfn.XLOOKUP(D121,products!$A$1:$A$49,products!$D$1:$D$49,,0)</f>
        <v>0.2</v>
      </c>
      <c r="L121" s="7">
        <f>_xlfn.XLOOKUP(D121,products!$A$1:$A$49,products!$E$1:$E$49,,0)</f>
        <v>4.125</v>
      </c>
      <c r="M121" s="7">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IF(_xlfn.XLOOKUP(F122,customers!$B$1:$B$1001,customers!$C$1:$C$1001,,0)=0,"",_xlfn.XLOOKUP(F122,customers!$B$1:$B$1001,customers!$C$1:$C$1001,,0))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5">
        <f>_xlfn.XLOOKUP(D122,products!$A$1:$A$49,products!$D$1:$D$49,,0)</f>
        <v>0.2</v>
      </c>
      <c r="L122" s="7">
        <f>_xlfn.XLOOKUP(D122,products!$A$1:$A$49,products!$E$1:$E$49,,0)</f>
        <v>3.8849999999999998</v>
      </c>
      <c r="M122" s="7">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IF(_xlfn.XLOOKUP(F123,customers!$B$1:$B$1001,customers!$C$1:$C$1001,,0)=0,"",_xlfn.XLOOKUP(F123,customers!$B$1:$B$1001,customers!$C$1:$C$1001,,0))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5">
        <f>_xlfn.XLOOKUP(D123,products!$A$1:$A$49,products!$D$1:$D$49,,0)</f>
        <v>1</v>
      </c>
      <c r="L123" s="7">
        <f>_xlfn.XLOOKUP(D123,products!$A$1:$A$49,products!$E$1:$E$49,,0)</f>
        <v>13.75</v>
      </c>
      <c r="M123" s="7">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IF(_xlfn.XLOOKUP(F124,customers!$B$1:$B$1001,customers!$C$1:$C$1001,,0)=0,"",_xlfn.XLOOKUP(F124,customers!$B$1:$B$1001,customers!$C$1:$C$1001,,0))</f>
        <v>mludwell3e@blogger.com</v>
      </c>
      <c r="H124" s="2" t="str">
        <f>_xlfn.XLOOKUP(C124,customers!$A$1:$A$1001,customers!$G$1:$G$1001,,0)</f>
        <v>United States</v>
      </c>
      <c r="I124" t="str">
        <f>_xlfn.XLOOKUP(D124,products!$A$1:$A$49,products!$B$1:$B$49,,0)</f>
        <v>Ara</v>
      </c>
      <c r="J124" t="str">
        <f>_xlfn.XLOOKUP(D124,products!$A$1:$A$49,products!$C$1:$C$49,,0)</f>
        <v>D</v>
      </c>
      <c r="K124" s="5">
        <f>_xlfn.XLOOKUP(D124,products!$A$1:$A$49,products!$D$1:$D$49,,0)</f>
        <v>0.5</v>
      </c>
      <c r="L124" s="7">
        <f>_xlfn.XLOOKUP(D124,products!$A$1:$A$49,products!$E$1:$E$49,,0)</f>
        <v>5.97</v>
      </c>
      <c r="M124" s="7">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IF(_xlfn.XLOOKUP(F125,customers!$B$1:$B$1001,customers!$C$1:$C$1001,,0)=0,"",_xlfn.XLOOKUP(F125,customers!$B$1:$B$1001,customers!$C$1:$C$1001,,0))</f>
        <v>dbeauchamp3f@usda.gov</v>
      </c>
      <c r="H125" s="2" t="str">
        <f>_xlfn.XLOOKUP(C125,customers!$A$1:$A$1001,customers!$G$1:$G$1001,,0)</f>
        <v>United States</v>
      </c>
      <c r="I125" t="str">
        <f>_xlfn.XLOOKUP(D125,products!$A$1:$A$49,products!$B$1:$B$49,,0)</f>
        <v>Lib</v>
      </c>
      <c r="J125" t="str">
        <f>_xlfn.XLOOKUP(D125,products!$A$1:$A$49,products!$C$1:$C$49,,0)</f>
        <v>L</v>
      </c>
      <c r="K125" s="5">
        <f>_xlfn.XLOOKUP(D125,products!$A$1:$A$49,products!$D$1:$D$49,,0)</f>
        <v>2.5</v>
      </c>
      <c r="L125" s="7">
        <f>_xlfn.XLOOKUP(D125,products!$A$1:$A$49,products!$E$1:$E$49,,0)</f>
        <v>36.454999999999998</v>
      </c>
      <c r="M125" s="7">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IF(_xlfn.XLOOKUP(F126,customers!$B$1:$B$1001,customers!$C$1:$C$1001,,0)=0,"",_xlfn.XLOOKUP(F126,customers!$B$1:$B$1001,customers!$C$1:$C$1001,,0))</f>
        <v>srodliff3g@ted.com</v>
      </c>
      <c r="H126" s="2" t="str">
        <f>_xlfn.XLOOKUP(C126,customers!$A$1:$A$1001,customers!$G$1:$G$1001,,0)</f>
        <v>United States</v>
      </c>
      <c r="I126" t="str">
        <f>_xlfn.XLOOKUP(D126,products!$A$1:$A$49,products!$B$1:$B$49,,0)</f>
        <v>Lib</v>
      </c>
      <c r="J126" t="str">
        <f>_xlfn.XLOOKUP(D126,products!$A$1:$A$49,products!$C$1:$C$49,,0)</f>
        <v>M</v>
      </c>
      <c r="K126" s="5">
        <f>_xlfn.XLOOKUP(D126,products!$A$1:$A$49,products!$D$1:$D$49,,0)</f>
        <v>0.2</v>
      </c>
      <c r="L126" s="7">
        <f>_xlfn.XLOOKUP(D126,products!$A$1:$A$49,products!$E$1:$E$49,,0)</f>
        <v>4.3650000000000002</v>
      </c>
      <c r="M126" s="7">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IF(_xlfn.XLOOKUP(F127,customers!$B$1:$B$1001,customers!$C$1:$C$1001,,0)=0,"",_xlfn.XLOOKUP(F127,customers!$B$1:$B$1001,customers!$C$1:$C$1001,,0))</f>
        <v>swoodham3h@businesswire.com</v>
      </c>
      <c r="H127" s="2" t="str">
        <f>_xlfn.XLOOKUP(C127,customers!$A$1:$A$1001,customers!$G$1:$G$1001,,0)</f>
        <v>Ireland</v>
      </c>
      <c r="I127" t="str">
        <f>_xlfn.XLOOKUP(D127,products!$A$1:$A$49,products!$B$1:$B$49,,0)</f>
        <v>Lib</v>
      </c>
      <c r="J127" t="str">
        <f>_xlfn.XLOOKUP(D127,products!$A$1:$A$49,products!$C$1:$C$49,,0)</f>
        <v>M</v>
      </c>
      <c r="K127" s="5">
        <f>_xlfn.XLOOKUP(D127,products!$A$1:$A$49,products!$D$1:$D$49,,0)</f>
        <v>0.5</v>
      </c>
      <c r="L127" s="7">
        <f>_xlfn.XLOOKUP(D127,products!$A$1:$A$49,products!$E$1:$E$49,,0)</f>
        <v>8.73</v>
      </c>
      <c r="M127" s="7">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IF(_xlfn.XLOOKUP(F128,customers!$B$1:$B$1001,customers!$C$1:$C$1001,,0)=0,"",_xlfn.XLOOKUP(F128,customers!$B$1:$B$1001,customers!$C$1:$C$1001,,0))</f>
        <v>hsynnot3i@about.com</v>
      </c>
      <c r="H128" s="2" t="str">
        <f>_xlfn.XLOOKUP(C128,customers!$A$1:$A$1001,customers!$G$1:$G$1001,,0)</f>
        <v>United States</v>
      </c>
      <c r="I128" t="str">
        <f>_xlfn.XLOOKUP(D128,products!$A$1:$A$49,products!$B$1:$B$49,,0)</f>
        <v>Ara</v>
      </c>
      <c r="J128" t="str">
        <f>_xlfn.XLOOKUP(D128,products!$A$1:$A$49,products!$C$1:$C$49,,0)</f>
        <v>M</v>
      </c>
      <c r="K128" s="5">
        <f>_xlfn.XLOOKUP(D128,products!$A$1:$A$49,products!$D$1:$D$49,,0)</f>
        <v>1</v>
      </c>
      <c r="L128" s="7">
        <f>_xlfn.XLOOKUP(D128,products!$A$1:$A$49,products!$E$1:$E$49,,0)</f>
        <v>11.25</v>
      </c>
      <c r="M128" s="7">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IF(_xlfn.XLOOKUP(F129,customers!$B$1:$B$1001,customers!$C$1:$C$1001,,0)=0,"",_xlfn.XLOOKUP(F129,customers!$B$1:$B$1001,customers!$C$1:$C$1001,,0))</f>
        <v>rlepere3j@shop-pro.jp</v>
      </c>
      <c r="H129" s="2" t="str">
        <f>_xlfn.XLOOKUP(C129,customers!$A$1:$A$1001,customers!$G$1:$G$1001,,0)</f>
        <v>Ireland</v>
      </c>
      <c r="I129" t="str">
        <f>_xlfn.XLOOKUP(D129,products!$A$1:$A$49,products!$B$1:$B$49,,0)</f>
        <v>Lib</v>
      </c>
      <c r="J129" t="str">
        <f>_xlfn.XLOOKUP(D129,products!$A$1:$A$49,products!$C$1:$C$49,,0)</f>
        <v>D</v>
      </c>
      <c r="K129" s="5">
        <f>_xlfn.XLOOKUP(D129,products!$A$1:$A$49,products!$D$1:$D$49,,0)</f>
        <v>1</v>
      </c>
      <c r="L129" s="7">
        <f>_xlfn.XLOOKUP(D129,products!$A$1:$A$49,products!$E$1:$E$49,,0)</f>
        <v>12.95</v>
      </c>
      <c r="M129" s="7">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IF(_xlfn.XLOOKUP(F130,customers!$B$1:$B$1001,customers!$C$1:$C$1001,,0)=0,"",_xlfn.XLOOKUP(F130,customers!$B$1:$B$1001,customers!$C$1:$C$1001,,0))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5">
        <f>_xlfn.XLOOKUP(D130,products!$A$1:$A$49,products!$D$1:$D$49,,0)</f>
        <v>0.5</v>
      </c>
      <c r="L130" s="7">
        <f>_xlfn.XLOOKUP(D130,products!$A$1:$A$49,products!$E$1:$E$49,,0)</f>
        <v>6.75</v>
      </c>
      <c r="M130" s="7">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IF(_xlfn.XLOOKUP(F131,customers!$B$1:$B$1001,customers!$C$1:$C$1001,,0)=0,"",_xlfn.XLOOKUP(F131,customers!$B$1:$B$1001,customers!$C$1:$C$1001,,0))</f>
        <v>edacca3l@google.pl</v>
      </c>
      <c r="H131" s="2" t="str">
        <f>_xlfn.XLOOKUP(C131,customers!$A$1:$A$1001,customers!$G$1:$G$1001,,0)</f>
        <v>United States</v>
      </c>
      <c r="I131" t="str">
        <f>_xlfn.XLOOKUP(D131,products!$A$1:$A$49,products!$B$1:$B$49,,0)</f>
        <v>Exc</v>
      </c>
      <c r="J131" t="str">
        <f>_xlfn.XLOOKUP(D131,products!$A$1:$A$49,products!$C$1:$C$49,,0)</f>
        <v>D</v>
      </c>
      <c r="K131" s="5">
        <f>_xlfn.XLOOKUP(D131,products!$A$1:$A$49,products!$D$1:$D$49,,0)</f>
        <v>1</v>
      </c>
      <c r="L131" s="7">
        <f>_xlfn.XLOOKUP(D131,products!$A$1:$A$49,products!$E$1:$E$49,,0)</f>
        <v>12.15</v>
      </c>
      <c r="M131" s="7">
        <f t="shared" ref="M131:M194" si="6">(L131*E131)</f>
        <v>12.15</v>
      </c>
      <c r="N131" t="str">
        <f t="shared" ref="N131:N194" si="7">IF(I131="Rob","Robusta", 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IF(_xlfn.XLOOKUP(F132,customers!$B$1:$B$1001,customers!$C$1:$C$1001,,0)=0,"",_xlfn.XLOOKUP(F132,customers!$B$1:$B$1001,customers!$C$1:$C$1001,,0))</f>
        <v/>
      </c>
      <c r="H132" s="2" t="str">
        <f>_xlfn.XLOOKUP(C132,customers!$A$1:$A$1001,customers!$G$1:$G$1001,,0)</f>
        <v>Ireland</v>
      </c>
      <c r="I132" t="str">
        <f>_xlfn.XLOOKUP(D132,products!$A$1:$A$49,products!$B$1:$B$49,,0)</f>
        <v>Ara</v>
      </c>
      <c r="J132" t="str">
        <f>_xlfn.XLOOKUP(D132,products!$A$1:$A$49,products!$C$1:$C$49,,0)</f>
        <v>L</v>
      </c>
      <c r="K132" s="5">
        <f>_xlfn.XLOOKUP(D132,products!$A$1:$A$49,products!$D$1:$D$49,,0)</f>
        <v>2.5</v>
      </c>
      <c r="L132" s="7">
        <f>_xlfn.XLOOKUP(D132,products!$A$1:$A$49,products!$E$1:$E$49,,0)</f>
        <v>29.784999999999997</v>
      </c>
      <c r="M132" s="7">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IF(_xlfn.XLOOKUP(F133,customers!$B$1:$B$1001,customers!$C$1:$C$1001,,0)=0,"",_xlfn.XLOOKUP(F133,customers!$B$1:$B$1001,customers!$C$1:$C$1001,,0))</f>
        <v>bhindsberg3n@blogs.com</v>
      </c>
      <c r="H133" s="2" t="str">
        <f>_xlfn.XLOOKUP(C133,customers!$A$1:$A$1001,customers!$G$1:$G$1001,,0)</f>
        <v>United States</v>
      </c>
      <c r="I133" t="str">
        <f>_xlfn.XLOOKUP(D133,products!$A$1:$A$49,products!$B$1:$B$49,,0)</f>
        <v>Exc</v>
      </c>
      <c r="J133" t="str">
        <f>_xlfn.XLOOKUP(D133,products!$A$1:$A$49,products!$C$1:$C$49,,0)</f>
        <v>D</v>
      </c>
      <c r="K133" s="5">
        <f>_xlfn.XLOOKUP(D133,products!$A$1:$A$49,products!$D$1:$D$49,,0)</f>
        <v>0.5</v>
      </c>
      <c r="L133" s="7">
        <f>_xlfn.XLOOKUP(D133,products!$A$1:$A$49,products!$E$1:$E$49,,0)</f>
        <v>7.29</v>
      </c>
      <c r="M133" s="7">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IF(_xlfn.XLOOKUP(F134,customers!$B$1:$B$1001,customers!$C$1:$C$1001,,0)=0,"",_xlfn.XLOOKUP(F134,customers!$B$1:$B$1001,customers!$C$1:$C$1001,,0))</f>
        <v>orobins3o@salon.com</v>
      </c>
      <c r="H134" s="2" t="str">
        <f>_xlfn.XLOOKUP(C134,customers!$A$1:$A$1001,customers!$G$1:$G$1001,,0)</f>
        <v>United States</v>
      </c>
      <c r="I134" t="str">
        <f>_xlfn.XLOOKUP(D134,products!$A$1:$A$49,products!$B$1:$B$49,,0)</f>
        <v>Ara</v>
      </c>
      <c r="J134" t="str">
        <f>_xlfn.XLOOKUP(D134,products!$A$1:$A$49,products!$C$1:$C$49,,0)</f>
        <v>L</v>
      </c>
      <c r="K134" s="5">
        <f>_xlfn.XLOOKUP(D134,products!$A$1:$A$49,products!$D$1:$D$49,,0)</f>
        <v>2.5</v>
      </c>
      <c r="L134" s="7">
        <f>_xlfn.XLOOKUP(D134,products!$A$1:$A$49,products!$E$1:$E$49,,0)</f>
        <v>29.784999999999997</v>
      </c>
      <c r="M134" s="7">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IF(_xlfn.XLOOKUP(F135,customers!$B$1:$B$1001,customers!$C$1:$C$1001,,0)=0,"",_xlfn.XLOOKUP(F135,customers!$B$1:$B$1001,customers!$C$1:$C$1001,,0))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5">
        <f>_xlfn.XLOOKUP(D135,products!$A$1:$A$49,products!$D$1:$D$49,,0)</f>
        <v>1</v>
      </c>
      <c r="L135" s="7">
        <f>_xlfn.XLOOKUP(D135,products!$A$1:$A$49,products!$E$1:$E$49,,0)</f>
        <v>12.95</v>
      </c>
      <c r="M135" s="7">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IF(_xlfn.XLOOKUP(F136,customers!$B$1:$B$1001,customers!$C$1:$C$1001,,0)=0,"",_xlfn.XLOOKUP(F136,customers!$B$1:$B$1001,customers!$C$1:$C$1001,,0))</f>
        <v/>
      </c>
      <c r="H136" s="2" t="str">
        <f>_xlfn.XLOOKUP(C136,customers!$A$1:$A$1001,customers!$G$1:$G$1001,,0)</f>
        <v>United States</v>
      </c>
      <c r="I136" t="str">
        <f>_xlfn.XLOOKUP(D136,products!$A$1:$A$49,products!$B$1:$B$49,,0)</f>
        <v>Exc</v>
      </c>
      <c r="J136" t="str">
        <f>_xlfn.XLOOKUP(D136,products!$A$1:$A$49,products!$C$1:$C$49,,0)</f>
        <v>M</v>
      </c>
      <c r="K136" s="5">
        <f>_xlfn.XLOOKUP(D136,products!$A$1:$A$49,products!$D$1:$D$49,,0)</f>
        <v>2.5</v>
      </c>
      <c r="L136" s="7">
        <f>_xlfn.XLOOKUP(D136,products!$A$1:$A$49,products!$E$1:$E$49,,0)</f>
        <v>31.624999999999996</v>
      </c>
      <c r="M136" s="7">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IF(_xlfn.XLOOKUP(F137,customers!$B$1:$B$1001,customers!$C$1:$C$1001,,0)=0,"",_xlfn.XLOOKUP(F137,customers!$B$1:$B$1001,customers!$C$1:$C$1001,,0))</f>
        <v>bmcamish2e@tripadvisor.com</v>
      </c>
      <c r="H137" s="2" t="str">
        <f>_xlfn.XLOOKUP(C137,customers!$A$1:$A$1001,customers!$G$1:$G$1001,,0)</f>
        <v>United States</v>
      </c>
      <c r="I137" t="str">
        <f>_xlfn.XLOOKUP(D137,products!$A$1:$A$49,products!$B$1:$B$49,,0)</f>
        <v>Ara</v>
      </c>
      <c r="J137" t="str">
        <f>_xlfn.XLOOKUP(D137,products!$A$1:$A$49,products!$C$1:$C$49,,0)</f>
        <v>L</v>
      </c>
      <c r="K137" s="5">
        <f>_xlfn.XLOOKUP(D137,products!$A$1:$A$49,products!$D$1:$D$49,,0)</f>
        <v>0.5</v>
      </c>
      <c r="L137" s="7">
        <f>_xlfn.XLOOKUP(D137,products!$A$1:$A$49,products!$E$1:$E$49,,0)</f>
        <v>7.77</v>
      </c>
      <c r="M137" s="7">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IF(_xlfn.XLOOKUP(F138,customers!$B$1:$B$1001,customers!$C$1:$C$1001,,0)=0,"",_xlfn.XLOOKUP(F138,customers!$B$1:$B$1001,customers!$C$1:$C$1001,,0))</f>
        <v>lkeenleyside3s@topsy.com</v>
      </c>
      <c r="H138" s="2" t="str">
        <f>_xlfn.XLOOKUP(C138,customers!$A$1:$A$1001,customers!$G$1:$G$1001,,0)</f>
        <v>United States</v>
      </c>
      <c r="I138" t="str">
        <f>_xlfn.XLOOKUP(D138,products!$A$1:$A$49,products!$B$1:$B$49,,0)</f>
        <v>Ara</v>
      </c>
      <c r="J138" t="str">
        <f>_xlfn.XLOOKUP(D138,products!$A$1:$A$49,products!$C$1:$C$49,,0)</f>
        <v>D</v>
      </c>
      <c r="K138" s="5">
        <f>_xlfn.XLOOKUP(D138,products!$A$1:$A$49,products!$D$1:$D$49,,0)</f>
        <v>0.2</v>
      </c>
      <c r="L138" s="7">
        <f>_xlfn.XLOOKUP(D138,products!$A$1:$A$49,products!$E$1:$E$49,,0)</f>
        <v>2.9849999999999999</v>
      </c>
      <c r="M138" s="7">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IF(_xlfn.XLOOKUP(F139,customers!$B$1:$B$1001,customers!$C$1:$C$1001,,0)=0,"",_xlfn.XLOOKUP(F139,customers!$B$1:$B$1001,customers!$C$1:$C$1001,,0))</f>
        <v/>
      </c>
      <c r="H139" s="2" t="str">
        <f>_xlfn.XLOOKUP(C139,customers!$A$1:$A$1001,customers!$G$1:$G$1001,,0)</f>
        <v>Ireland</v>
      </c>
      <c r="I139" t="str">
        <f>_xlfn.XLOOKUP(D139,products!$A$1:$A$49,products!$B$1:$B$49,,0)</f>
        <v>Exc</v>
      </c>
      <c r="J139" t="str">
        <f>_xlfn.XLOOKUP(D139,products!$A$1:$A$49,products!$C$1:$C$49,,0)</f>
        <v>L</v>
      </c>
      <c r="K139" s="5">
        <f>_xlfn.XLOOKUP(D139,products!$A$1:$A$49,products!$D$1:$D$49,,0)</f>
        <v>2.5</v>
      </c>
      <c r="L139" s="7">
        <f>_xlfn.XLOOKUP(D139,products!$A$1:$A$49,products!$E$1:$E$49,,0)</f>
        <v>34.154999999999994</v>
      </c>
      <c r="M139" s="7">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IF(_xlfn.XLOOKUP(F140,customers!$B$1:$B$1001,customers!$C$1:$C$1001,,0)=0,"",_xlfn.XLOOKUP(F140,customers!$B$1:$B$1001,customers!$C$1:$C$1001,,0))</f>
        <v/>
      </c>
      <c r="H140" s="2" t="str">
        <f>_xlfn.XLOOKUP(C140,customers!$A$1:$A$1001,customers!$G$1:$G$1001,,0)</f>
        <v>United States</v>
      </c>
      <c r="I140" t="str">
        <f>_xlfn.XLOOKUP(D140,products!$A$1:$A$49,products!$B$1:$B$49,,0)</f>
        <v>Exc</v>
      </c>
      <c r="J140" t="str">
        <f>_xlfn.XLOOKUP(D140,products!$A$1:$A$49,products!$C$1:$C$49,,0)</f>
        <v>D</v>
      </c>
      <c r="K140" s="5">
        <f>_xlfn.XLOOKUP(D140,products!$A$1:$A$49,products!$D$1:$D$49,,0)</f>
        <v>1</v>
      </c>
      <c r="L140" s="7">
        <f>_xlfn.XLOOKUP(D140,products!$A$1:$A$49,products!$E$1:$E$49,,0)</f>
        <v>12.15</v>
      </c>
      <c r="M140" s="7">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IF(_xlfn.XLOOKUP(F141,customers!$B$1:$B$1001,customers!$C$1:$C$1001,,0)=0,"",_xlfn.XLOOKUP(F141,customers!$B$1:$B$1001,customers!$C$1:$C$1001,,0))</f>
        <v/>
      </c>
      <c r="H141" s="2" t="str">
        <f>_xlfn.XLOOKUP(C141,customers!$A$1:$A$1001,customers!$G$1:$G$1001,,0)</f>
        <v>United States</v>
      </c>
      <c r="I141" t="str">
        <f>_xlfn.XLOOKUP(D141,products!$A$1:$A$49,products!$B$1:$B$49,,0)</f>
        <v>Lib</v>
      </c>
      <c r="J141" t="str">
        <f>_xlfn.XLOOKUP(D141,products!$A$1:$A$49,products!$C$1:$C$49,,0)</f>
        <v>D</v>
      </c>
      <c r="K141" s="5">
        <f>_xlfn.XLOOKUP(D141,products!$A$1:$A$49,products!$D$1:$D$49,,0)</f>
        <v>1</v>
      </c>
      <c r="L141" s="7">
        <f>_xlfn.XLOOKUP(D141,products!$A$1:$A$49,products!$E$1:$E$49,,0)</f>
        <v>12.95</v>
      </c>
      <c r="M141" s="7">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IF(_xlfn.XLOOKUP(F142,customers!$B$1:$B$1001,customers!$C$1:$C$1001,,0)=0,"",_xlfn.XLOOKUP(F142,customers!$B$1:$B$1001,customers!$C$1:$C$1001,,0))</f>
        <v>vkundt3w@bigcartel.com</v>
      </c>
      <c r="H142" s="2" t="str">
        <f>_xlfn.XLOOKUP(C142,customers!$A$1:$A$1001,customers!$G$1:$G$1001,,0)</f>
        <v>Ireland</v>
      </c>
      <c r="I142" t="str">
        <f>_xlfn.XLOOKUP(D142,products!$A$1:$A$49,products!$B$1:$B$49,,0)</f>
        <v>Lib</v>
      </c>
      <c r="J142" t="str">
        <f>_xlfn.XLOOKUP(D142,products!$A$1:$A$49,products!$C$1:$C$49,,0)</f>
        <v>D</v>
      </c>
      <c r="K142" s="5">
        <f>_xlfn.XLOOKUP(D142,products!$A$1:$A$49,products!$D$1:$D$49,,0)</f>
        <v>2.5</v>
      </c>
      <c r="L142" s="7">
        <f>_xlfn.XLOOKUP(D142,products!$A$1:$A$49,products!$E$1:$E$49,,0)</f>
        <v>29.784999999999997</v>
      </c>
      <c r="M142" s="7">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IF(_xlfn.XLOOKUP(F143,customers!$B$1:$B$1001,customers!$C$1:$C$1001,,0)=0,"",_xlfn.XLOOKUP(F143,customers!$B$1:$B$1001,customers!$C$1:$C$1001,,0))</f>
        <v>bbett3x@google.de</v>
      </c>
      <c r="H143" s="2" t="str">
        <f>_xlfn.XLOOKUP(C143,customers!$A$1:$A$1001,customers!$G$1:$G$1001,,0)</f>
        <v>United States</v>
      </c>
      <c r="I143" t="str">
        <f>_xlfn.XLOOKUP(D143,products!$A$1:$A$49,products!$B$1:$B$49,,0)</f>
        <v>Ara</v>
      </c>
      <c r="J143" t="str">
        <f>_xlfn.XLOOKUP(D143,products!$A$1:$A$49,products!$C$1:$C$49,,0)</f>
        <v>L</v>
      </c>
      <c r="K143" s="5">
        <f>_xlfn.XLOOKUP(D143,products!$A$1:$A$49,products!$D$1:$D$49,,0)</f>
        <v>0.2</v>
      </c>
      <c r="L143" s="7">
        <f>_xlfn.XLOOKUP(D143,products!$A$1:$A$49,products!$E$1:$E$49,,0)</f>
        <v>3.8849999999999998</v>
      </c>
      <c r="M143" s="7">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IF(_xlfn.XLOOKUP(F144,customers!$B$1:$B$1001,customers!$C$1:$C$1001,,0)=0,"",_xlfn.XLOOKUP(F144,customers!$B$1:$B$1001,customers!$C$1:$C$1001,,0))</f>
        <v/>
      </c>
      <c r="H144" s="2" t="str">
        <f>_xlfn.XLOOKUP(C144,customers!$A$1:$A$1001,customers!$G$1:$G$1001,,0)</f>
        <v>Ireland</v>
      </c>
      <c r="I144" t="str">
        <f>_xlfn.XLOOKUP(D144,products!$A$1:$A$49,products!$B$1:$B$49,,0)</f>
        <v>Exc</v>
      </c>
      <c r="J144" t="str">
        <f>_xlfn.XLOOKUP(D144,products!$A$1:$A$49,products!$C$1:$C$49,,0)</f>
        <v>L</v>
      </c>
      <c r="K144" s="5">
        <f>_xlfn.XLOOKUP(D144,products!$A$1:$A$49,products!$D$1:$D$49,,0)</f>
        <v>2.5</v>
      </c>
      <c r="L144" s="7">
        <f>_xlfn.XLOOKUP(D144,products!$A$1:$A$49,products!$E$1:$E$49,,0)</f>
        <v>34.154999999999994</v>
      </c>
      <c r="M144" s="7">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IF(_xlfn.XLOOKUP(F145,customers!$B$1:$B$1001,customers!$C$1:$C$1001,,0)=0,"",_xlfn.XLOOKUP(F145,customers!$B$1:$B$1001,customers!$C$1:$C$1001,,0))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5">
        <f>_xlfn.XLOOKUP(D145,products!$A$1:$A$49,products!$D$1:$D$49,,0)</f>
        <v>0.5</v>
      </c>
      <c r="L145" s="7">
        <f>_xlfn.XLOOKUP(D145,products!$A$1:$A$49,products!$E$1:$E$49,,0)</f>
        <v>8.73</v>
      </c>
      <c r="M145" s="7">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IF(_xlfn.XLOOKUP(F146,customers!$B$1:$B$1001,customers!$C$1:$C$1001,,0)=0,"",_xlfn.XLOOKUP(F146,customers!$B$1:$B$1001,customers!$C$1:$C$1001,,0))</f>
        <v>wkeyse40@apple.com</v>
      </c>
      <c r="H146" s="2" t="str">
        <f>_xlfn.XLOOKUP(C146,customers!$A$1:$A$1001,customers!$G$1:$G$1001,,0)</f>
        <v>United States</v>
      </c>
      <c r="I146" t="str">
        <f>_xlfn.XLOOKUP(D146,products!$A$1:$A$49,products!$B$1:$B$49,,0)</f>
        <v>Exc</v>
      </c>
      <c r="J146" t="str">
        <f>_xlfn.XLOOKUP(D146,products!$A$1:$A$49,products!$C$1:$C$49,,0)</f>
        <v>L</v>
      </c>
      <c r="K146" s="5">
        <f>_xlfn.XLOOKUP(D146,products!$A$1:$A$49,products!$D$1:$D$49,,0)</f>
        <v>2.5</v>
      </c>
      <c r="L146" s="7">
        <f>_xlfn.XLOOKUP(D146,products!$A$1:$A$49,products!$E$1:$E$49,,0)</f>
        <v>34.154999999999994</v>
      </c>
      <c r="M146" s="7">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IF(_xlfn.XLOOKUP(F147,customers!$B$1:$B$1001,customers!$C$1:$C$1001,,0)=0,"",_xlfn.XLOOKUP(F147,customers!$B$1:$B$1001,customers!$C$1:$C$1001,,0))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5">
        <f>_xlfn.XLOOKUP(D147,products!$A$1:$A$49,products!$D$1:$D$49,,0)</f>
        <v>0.2</v>
      </c>
      <c r="L147" s="7">
        <f>_xlfn.XLOOKUP(D147,products!$A$1:$A$49,products!$E$1:$E$49,,0)</f>
        <v>4.3650000000000002</v>
      </c>
      <c r="M147" s="7">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IF(_xlfn.XLOOKUP(F148,customers!$B$1:$B$1001,customers!$C$1:$C$1001,,0)=0,"",_xlfn.XLOOKUP(F148,customers!$B$1:$B$1001,customers!$C$1:$C$1001,,0))</f>
        <v>lfrancisco42@fema.gov</v>
      </c>
      <c r="H148" s="2" t="str">
        <f>_xlfn.XLOOKUP(C148,customers!$A$1:$A$1001,customers!$G$1:$G$1001,,0)</f>
        <v>United States</v>
      </c>
      <c r="I148" t="str">
        <f>_xlfn.XLOOKUP(D148,products!$A$1:$A$49,products!$B$1:$B$49,,0)</f>
        <v>Lib</v>
      </c>
      <c r="J148" t="str">
        <f>_xlfn.XLOOKUP(D148,products!$A$1:$A$49,products!$C$1:$C$49,,0)</f>
        <v>M</v>
      </c>
      <c r="K148" s="5">
        <f>_xlfn.XLOOKUP(D148,products!$A$1:$A$49,products!$D$1:$D$49,,0)</f>
        <v>1</v>
      </c>
      <c r="L148" s="7">
        <f>_xlfn.XLOOKUP(D148,products!$A$1:$A$49,products!$E$1:$E$49,,0)</f>
        <v>14.55</v>
      </c>
      <c r="M148" s="7">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IF(_xlfn.XLOOKUP(F149,customers!$B$1:$B$1001,customers!$C$1:$C$1001,,0)=0,"",_xlfn.XLOOKUP(F149,customers!$B$1:$B$1001,customers!$C$1:$C$1001,,0))</f>
        <v>lfrancisco42@fema.gov</v>
      </c>
      <c r="H149" s="2" t="str">
        <f>_xlfn.XLOOKUP(C149,customers!$A$1:$A$1001,customers!$G$1:$G$1001,,0)</f>
        <v>United States</v>
      </c>
      <c r="I149" t="str">
        <f>_xlfn.XLOOKUP(D149,products!$A$1:$A$49,products!$B$1:$B$49,,0)</f>
        <v>Exc</v>
      </c>
      <c r="J149" t="str">
        <f>_xlfn.XLOOKUP(D149,products!$A$1:$A$49,products!$C$1:$C$49,,0)</f>
        <v>M</v>
      </c>
      <c r="K149" s="5">
        <f>_xlfn.XLOOKUP(D149,products!$A$1:$A$49,products!$D$1:$D$49,,0)</f>
        <v>1</v>
      </c>
      <c r="L149" s="7">
        <f>_xlfn.XLOOKUP(D149,products!$A$1:$A$49,products!$E$1:$E$49,,0)</f>
        <v>13.75</v>
      </c>
      <c r="M149" s="7">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IF(_xlfn.XLOOKUP(F150,customers!$B$1:$B$1001,customers!$C$1:$C$1001,,0)=0,"",_xlfn.XLOOKUP(F150,customers!$B$1:$B$1001,customers!$C$1:$C$1001,,0))</f>
        <v>gskingle44@clickbank.net</v>
      </c>
      <c r="H150" s="2" t="str">
        <f>_xlfn.XLOOKUP(C150,customers!$A$1:$A$1001,customers!$G$1:$G$1001,,0)</f>
        <v>United States</v>
      </c>
      <c r="I150" t="str">
        <f>_xlfn.XLOOKUP(D150,products!$A$1:$A$49,products!$B$1:$B$49,,0)</f>
        <v>Exc</v>
      </c>
      <c r="J150" t="str">
        <f>_xlfn.XLOOKUP(D150,products!$A$1:$A$49,products!$C$1:$C$49,,0)</f>
        <v>D</v>
      </c>
      <c r="K150" s="5">
        <f>_xlfn.XLOOKUP(D150,products!$A$1:$A$49,products!$D$1:$D$49,,0)</f>
        <v>0.2</v>
      </c>
      <c r="L150" s="7">
        <f>_xlfn.XLOOKUP(D150,products!$A$1:$A$49,products!$E$1:$E$49,,0)</f>
        <v>3.645</v>
      </c>
      <c r="M150" s="7">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IF(_xlfn.XLOOKUP(F151,customers!$B$1:$B$1001,customers!$C$1:$C$1001,,0)=0,"",_xlfn.XLOOKUP(F151,customers!$B$1:$B$1001,customers!$C$1:$C$1001,,0))</f>
        <v/>
      </c>
      <c r="H151" s="2" t="str">
        <f>_xlfn.XLOOKUP(C151,customers!$A$1:$A$1001,customers!$G$1:$G$1001,,0)</f>
        <v>United States</v>
      </c>
      <c r="I151" t="str">
        <f>_xlfn.XLOOKUP(D151,products!$A$1:$A$49,products!$B$1:$B$49,,0)</f>
        <v>Ara</v>
      </c>
      <c r="J151" t="str">
        <f>_xlfn.XLOOKUP(D151,products!$A$1:$A$49,products!$C$1:$C$49,,0)</f>
        <v>M</v>
      </c>
      <c r="K151" s="5">
        <f>_xlfn.XLOOKUP(D151,products!$A$1:$A$49,products!$D$1:$D$49,,0)</f>
        <v>2.5</v>
      </c>
      <c r="L151" s="7">
        <f>_xlfn.XLOOKUP(D151,products!$A$1:$A$49,products!$E$1:$E$49,,0)</f>
        <v>25.874999999999996</v>
      </c>
      <c r="M151" s="7">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IF(_xlfn.XLOOKUP(F152,customers!$B$1:$B$1001,customers!$C$1:$C$1001,,0)=0,"",_xlfn.XLOOKUP(F152,customers!$B$1:$B$1001,customers!$C$1:$C$1001,,0))</f>
        <v>jbalsillie46@princeton.edu</v>
      </c>
      <c r="H152" s="2" t="str">
        <f>_xlfn.XLOOKUP(C152,customers!$A$1:$A$1001,customers!$G$1:$G$1001,,0)</f>
        <v>United States</v>
      </c>
      <c r="I152" t="str">
        <f>_xlfn.XLOOKUP(D152,products!$A$1:$A$49,products!$B$1:$B$49,,0)</f>
        <v>Lib</v>
      </c>
      <c r="J152" t="str">
        <f>_xlfn.XLOOKUP(D152,products!$A$1:$A$49,products!$C$1:$C$49,,0)</f>
        <v>D</v>
      </c>
      <c r="K152" s="5">
        <f>_xlfn.XLOOKUP(D152,products!$A$1:$A$49,products!$D$1:$D$49,,0)</f>
        <v>1</v>
      </c>
      <c r="L152" s="7">
        <f>_xlfn.XLOOKUP(D152,products!$A$1:$A$49,products!$E$1:$E$49,,0)</f>
        <v>12.95</v>
      </c>
      <c r="M152" s="7">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IF(_xlfn.XLOOKUP(F153,customers!$B$1:$B$1001,customers!$C$1:$C$1001,,0)=0,"",_xlfn.XLOOKUP(F153,customers!$B$1:$B$1001,customers!$C$1:$C$1001,,0))</f>
        <v/>
      </c>
      <c r="H153" s="2" t="str">
        <f>_xlfn.XLOOKUP(C153,customers!$A$1:$A$1001,customers!$G$1:$G$1001,,0)</f>
        <v>United States</v>
      </c>
      <c r="I153" t="str">
        <f>_xlfn.XLOOKUP(D153,products!$A$1:$A$49,products!$B$1:$B$49,,0)</f>
        <v>Ara</v>
      </c>
      <c r="J153" t="str">
        <f>_xlfn.XLOOKUP(D153,products!$A$1:$A$49,products!$C$1:$C$49,,0)</f>
        <v>M</v>
      </c>
      <c r="K153" s="5">
        <f>_xlfn.XLOOKUP(D153,products!$A$1:$A$49,products!$D$1:$D$49,,0)</f>
        <v>1</v>
      </c>
      <c r="L153" s="7">
        <f>_xlfn.XLOOKUP(D153,products!$A$1:$A$49,products!$E$1:$E$49,,0)</f>
        <v>11.25</v>
      </c>
      <c r="M153" s="7">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IF(_xlfn.XLOOKUP(F154,customers!$B$1:$B$1001,customers!$C$1:$C$1001,,0)=0,"",_xlfn.XLOOKUP(F154,customers!$B$1:$B$1001,customers!$C$1:$C$1001,,0))</f>
        <v>bleffek48@ning.com</v>
      </c>
      <c r="H154" s="2" t="str">
        <f>_xlfn.XLOOKUP(C154,customers!$A$1:$A$1001,customers!$G$1:$G$1001,,0)</f>
        <v>United States</v>
      </c>
      <c r="I154" t="str">
        <f>_xlfn.XLOOKUP(D154,products!$A$1:$A$49,products!$B$1:$B$49,,0)</f>
        <v>Rob</v>
      </c>
      <c r="J154" t="str">
        <f>_xlfn.XLOOKUP(D154,products!$A$1:$A$49,products!$C$1:$C$49,,0)</f>
        <v>M</v>
      </c>
      <c r="K154" s="5">
        <f>_xlfn.XLOOKUP(D154,products!$A$1:$A$49,products!$D$1:$D$49,,0)</f>
        <v>2.5</v>
      </c>
      <c r="L154" s="7">
        <f>_xlfn.XLOOKUP(D154,products!$A$1:$A$49,products!$E$1:$E$49,,0)</f>
        <v>22.884999999999998</v>
      </c>
      <c r="M154" s="7">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IF(_xlfn.XLOOKUP(F155,customers!$B$1:$B$1001,customers!$C$1:$C$1001,,0)=0,"",_xlfn.XLOOKUP(F155,customers!$B$1:$B$1001,customers!$C$1:$C$1001,,0))</f>
        <v/>
      </c>
      <c r="H155" s="2" t="str">
        <f>_xlfn.XLOOKUP(C155,customers!$A$1:$A$1001,customers!$G$1:$G$1001,,0)</f>
        <v>United States</v>
      </c>
      <c r="I155" t="str">
        <f>_xlfn.XLOOKUP(D155,products!$A$1:$A$49,products!$B$1:$B$49,,0)</f>
        <v>Rob</v>
      </c>
      <c r="J155" t="str">
        <f>_xlfn.XLOOKUP(D155,products!$A$1:$A$49,products!$C$1:$C$49,,0)</f>
        <v>D</v>
      </c>
      <c r="K155" s="5">
        <f>_xlfn.XLOOKUP(D155,products!$A$1:$A$49,products!$D$1:$D$49,,0)</f>
        <v>0.2</v>
      </c>
      <c r="L155" s="7">
        <f>_xlfn.XLOOKUP(D155,products!$A$1:$A$49,products!$E$1:$E$49,,0)</f>
        <v>2.6849999999999996</v>
      </c>
      <c r="M155" s="7">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IF(_xlfn.XLOOKUP(F156,customers!$B$1:$B$1001,customers!$C$1:$C$1001,,0)=0,"",_xlfn.XLOOKUP(F156,customers!$B$1:$B$1001,customers!$C$1:$C$1001,,0))</f>
        <v>jpray4a@youtube.com</v>
      </c>
      <c r="H156" s="2" t="str">
        <f>_xlfn.XLOOKUP(C156,customers!$A$1:$A$1001,customers!$G$1:$G$1001,,0)</f>
        <v>United States</v>
      </c>
      <c r="I156" t="str">
        <f>_xlfn.XLOOKUP(D156,products!$A$1:$A$49,products!$B$1:$B$49,,0)</f>
        <v>Ara</v>
      </c>
      <c r="J156" t="str">
        <f>_xlfn.XLOOKUP(D156,products!$A$1:$A$49,products!$C$1:$C$49,,0)</f>
        <v>D</v>
      </c>
      <c r="K156" s="5">
        <f>_xlfn.XLOOKUP(D156,products!$A$1:$A$49,products!$D$1:$D$49,,0)</f>
        <v>2.5</v>
      </c>
      <c r="L156" s="7">
        <f>_xlfn.XLOOKUP(D156,products!$A$1:$A$49,products!$E$1:$E$49,,0)</f>
        <v>22.884999999999998</v>
      </c>
      <c r="M156" s="7">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IF(_xlfn.XLOOKUP(F157,customers!$B$1:$B$1001,customers!$C$1:$C$1001,,0)=0,"",_xlfn.XLOOKUP(F157,customers!$B$1:$B$1001,customers!$C$1:$C$1001,,0))</f>
        <v>gholborn4b@ow.ly</v>
      </c>
      <c r="H157" s="2" t="str">
        <f>_xlfn.XLOOKUP(C157,customers!$A$1:$A$1001,customers!$G$1:$G$1001,,0)</f>
        <v>United States</v>
      </c>
      <c r="I157" t="str">
        <f>_xlfn.XLOOKUP(D157,products!$A$1:$A$49,products!$B$1:$B$49,,0)</f>
        <v>Ara</v>
      </c>
      <c r="J157" t="str">
        <f>_xlfn.XLOOKUP(D157,products!$A$1:$A$49,products!$C$1:$C$49,,0)</f>
        <v>M</v>
      </c>
      <c r="K157" s="5">
        <f>_xlfn.XLOOKUP(D157,products!$A$1:$A$49,products!$D$1:$D$49,,0)</f>
        <v>2.5</v>
      </c>
      <c r="L157" s="7">
        <f>_xlfn.XLOOKUP(D157,products!$A$1:$A$49,products!$E$1:$E$49,,0)</f>
        <v>25.874999999999996</v>
      </c>
      <c r="M157" s="7">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IF(_xlfn.XLOOKUP(F158,customers!$B$1:$B$1001,customers!$C$1:$C$1001,,0)=0,"",_xlfn.XLOOKUP(F158,customers!$B$1:$B$1001,customers!$C$1:$C$1001,,0))</f>
        <v>fkeinrat4c@dailymail.co.uk</v>
      </c>
      <c r="H158" s="2" t="str">
        <f>_xlfn.XLOOKUP(C158,customers!$A$1:$A$1001,customers!$G$1:$G$1001,,0)</f>
        <v>United States</v>
      </c>
      <c r="I158" t="str">
        <f>_xlfn.XLOOKUP(D158,products!$A$1:$A$49,products!$B$1:$B$49,,0)</f>
        <v>Ara</v>
      </c>
      <c r="J158" t="str">
        <f>_xlfn.XLOOKUP(D158,products!$A$1:$A$49,products!$C$1:$C$49,,0)</f>
        <v>M</v>
      </c>
      <c r="K158" s="5">
        <f>_xlfn.XLOOKUP(D158,products!$A$1:$A$49,products!$D$1:$D$49,,0)</f>
        <v>2.5</v>
      </c>
      <c r="L158" s="7">
        <f>_xlfn.XLOOKUP(D158,products!$A$1:$A$49,products!$E$1:$E$49,,0)</f>
        <v>25.874999999999996</v>
      </c>
      <c r="M158" s="7">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IF(_xlfn.XLOOKUP(F159,customers!$B$1:$B$1001,customers!$C$1:$C$1001,,0)=0,"",_xlfn.XLOOKUP(F159,customers!$B$1:$B$1001,customers!$C$1:$C$1001,,0))</f>
        <v>pyea4d@aol.com</v>
      </c>
      <c r="H159" s="2" t="str">
        <f>_xlfn.XLOOKUP(C159,customers!$A$1:$A$1001,customers!$G$1:$G$1001,,0)</f>
        <v>Ireland</v>
      </c>
      <c r="I159" t="str">
        <f>_xlfn.XLOOKUP(D159,products!$A$1:$A$49,products!$B$1:$B$49,,0)</f>
        <v>Rob</v>
      </c>
      <c r="J159" t="str">
        <f>_xlfn.XLOOKUP(D159,products!$A$1:$A$49,products!$C$1:$C$49,,0)</f>
        <v>D</v>
      </c>
      <c r="K159" s="5">
        <f>_xlfn.XLOOKUP(D159,products!$A$1:$A$49,products!$D$1:$D$49,,0)</f>
        <v>2.5</v>
      </c>
      <c r="L159" s="7">
        <f>_xlfn.XLOOKUP(D159,products!$A$1:$A$49,products!$E$1:$E$49,,0)</f>
        <v>20.584999999999997</v>
      </c>
      <c r="M159" s="7">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IF(_xlfn.XLOOKUP(F160,customers!$B$1:$B$1001,customers!$C$1:$C$1001,,0)=0,"",_xlfn.XLOOKUP(F160,customers!$B$1:$B$1001,customers!$C$1:$C$1001,,0))</f>
        <v/>
      </c>
      <c r="H160" s="2" t="str">
        <f>_xlfn.XLOOKUP(C160,customers!$A$1:$A$1001,customers!$G$1:$G$1001,,0)</f>
        <v>United States</v>
      </c>
      <c r="I160" t="str">
        <f>_xlfn.XLOOKUP(D160,products!$A$1:$A$49,products!$B$1:$B$49,,0)</f>
        <v>Rob</v>
      </c>
      <c r="J160" t="str">
        <f>_xlfn.XLOOKUP(D160,products!$A$1:$A$49,products!$C$1:$C$49,,0)</f>
        <v>D</v>
      </c>
      <c r="K160" s="5">
        <f>_xlfn.XLOOKUP(D160,products!$A$1:$A$49,products!$D$1:$D$49,,0)</f>
        <v>2.5</v>
      </c>
      <c r="L160" s="7">
        <f>_xlfn.XLOOKUP(D160,products!$A$1:$A$49,products!$E$1:$E$49,,0)</f>
        <v>20.584999999999997</v>
      </c>
      <c r="M160" s="7">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IF(_xlfn.XLOOKUP(F161,customers!$B$1:$B$1001,customers!$C$1:$C$1001,,0)=0,"",_xlfn.XLOOKUP(F161,customers!$B$1:$B$1001,customers!$C$1:$C$1001,,0))</f>
        <v/>
      </c>
      <c r="H161" s="2" t="str">
        <f>_xlfn.XLOOKUP(C161,customers!$A$1:$A$1001,customers!$G$1:$G$1001,,0)</f>
        <v>United States</v>
      </c>
      <c r="I161" t="str">
        <f>_xlfn.XLOOKUP(D161,products!$A$1:$A$49,products!$B$1:$B$49,,0)</f>
        <v>Lib</v>
      </c>
      <c r="J161" t="str">
        <f>_xlfn.XLOOKUP(D161,products!$A$1:$A$49,products!$C$1:$C$49,,0)</f>
        <v>L</v>
      </c>
      <c r="K161" s="5">
        <f>_xlfn.XLOOKUP(D161,products!$A$1:$A$49,products!$D$1:$D$49,,0)</f>
        <v>2.5</v>
      </c>
      <c r="L161" s="7">
        <f>_xlfn.XLOOKUP(D161,products!$A$1:$A$49,products!$E$1:$E$49,,0)</f>
        <v>36.454999999999998</v>
      </c>
      <c r="M161" s="7">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IF(_xlfn.XLOOKUP(F162,customers!$B$1:$B$1001,customers!$C$1:$C$1001,,0)=0,"",_xlfn.XLOOKUP(F162,customers!$B$1:$B$1001,customers!$C$1:$C$1001,,0))</f>
        <v>kswede4g@addthis.com</v>
      </c>
      <c r="H162" s="2" t="str">
        <f>_xlfn.XLOOKUP(C162,customers!$A$1:$A$1001,customers!$G$1:$G$1001,,0)</f>
        <v>United States</v>
      </c>
      <c r="I162" t="str">
        <f>_xlfn.XLOOKUP(D162,products!$A$1:$A$49,products!$B$1:$B$49,,0)</f>
        <v>Exc</v>
      </c>
      <c r="J162" t="str">
        <f>_xlfn.XLOOKUP(D162,products!$A$1:$A$49,products!$C$1:$C$49,,0)</f>
        <v>M</v>
      </c>
      <c r="K162" s="5">
        <f>_xlfn.XLOOKUP(D162,products!$A$1:$A$49,products!$D$1:$D$49,,0)</f>
        <v>0.5</v>
      </c>
      <c r="L162" s="7">
        <f>_xlfn.XLOOKUP(D162,products!$A$1:$A$49,products!$E$1:$E$49,,0)</f>
        <v>8.25</v>
      </c>
      <c r="M162" s="7">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IF(_xlfn.XLOOKUP(F163,customers!$B$1:$B$1001,customers!$C$1:$C$1001,,0)=0,"",_xlfn.XLOOKUP(F163,customers!$B$1:$B$1001,customers!$C$1:$C$1001,,0))</f>
        <v>lrubrow4h@microsoft.com</v>
      </c>
      <c r="H163" s="2" t="str">
        <f>_xlfn.XLOOKUP(C163,customers!$A$1:$A$1001,customers!$G$1:$G$1001,,0)</f>
        <v>United States</v>
      </c>
      <c r="I163" t="str">
        <f>_xlfn.XLOOKUP(D163,products!$A$1:$A$49,products!$B$1:$B$49,,0)</f>
        <v>Ara</v>
      </c>
      <c r="J163" t="str">
        <f>_xlfn.XLOOKUP(D163,products!$A$1:$A$49,products!$C$1:$C$49,,0)</f>
        <v>L</v>
      </c>
      <c r="K163" s="5">
        <f>_xlfn.XLOOKUP(D163,products!$A$1:$A$49,products!$D$1:$D$49,,0)</f>
        <v>0.5</v>
      </c>
      <c r="L163" s="7">
        <f>_xlfn.XLOOKUP(D163,products!$A$1:$A$49,products!$E$1:$E$49,,0)</f>
        <v>7.77</v>
      </c>
      <c r="M163" s="7">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IF(_xlfn.XLOOKUP(F164,customers!$B$1:$B$1001,customers!$C$1:$C$1001,,0)=0,"",_xlfn.XLOOKUP(F164,customers!$B$1:$B$1001,customers!$C$1:$C$1001,,0))</f>
        <v>dtift4i@netvibes.com</v>
      </c>
      <c r="H164" s="2" t="str">
        <f>_xlfn.XLOOKUP(C164,customers!$A$1:$A$1001,customers!$G$1:$G$1001,,0)</f>
        <v>United States</v>
      </c>
      <c r="I164" t="str">
        <f>_xlfn.XLOOKUP(D164,products!$A$1:$A$49,products!$B$1:$B$49,,0)</f>
        <v>Exc</v>
      </c>
      <c r="J164" t="str">
        <f>_xlfn.XLOOKUP(D164,products!$A$1:$A$49,products!$C$1:$C$49,,0)</f>
        <v>D</v>
      </c>
      <c r="K164" s="5">
        <f>_xlfn.XLOOKUP(D164,products!$A$1:$A$49,products!$D$1:$D$49,,0)</f>
        <v>0.5</v>
      </c>
      <c r="L164" s="7">
        <f>_xlfn.XLOOKUP(D164,products!$A$1:$A$49,products!$E$1:$E$49,,0)</f>
        <v>7.29</v>
      </c>
      <c r="M164" s="7">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IF(_xlfn.XLOOKUP(F165,customers!$B$1:$B$1001,customers!$C$1:$C$1001,,0)=0,"",_xlfn.XLOOKUP(F165,customers!$B$1:$B$1001,customers!$C$1:$C$1001,,0))</f>
        <v>gschonfeld4j@oracle.com</v>
      </c>
      <c r="H165" s="2" t="str">
        <f>_xlfn.XLOOKUP(C165,customers!$A$1:$A$1001,customers!$G$1:$G$1001,,0)</f>
        <v>United States</v>
      </c>
      <c r="I165" t="str">
        <f>_xlfn.XLOOKUP(D165,products!$A$1:$A$49,products!$B$1:$B$49,,0)</f>
        <v>Rob</v>
      </c>
      <c r="J165" t="str">
        <f>_xlfn.XLOOKUP(D165,products!$A$1:$A$49,products!$C$1:$C$49,,0)</f>
        <v>D</v>
      </c>
      <c r="K165" s="5">
        <f>_xlfn.XLOOKUP(D165,products!$A$1:$A$49,products!$D$1:$D$49,,0)</f>
        <v>0.2</v>
      </c>
      <c r="L165" s="7">
        <f>_xlfn.XLOOKUP(D165,products!$A$1:$A$49,products!$E$1:$E$49,,0)</f>
        <v>2.6849999999999996</v>
      </c>
      <c r="M165" s="7">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IF(_xlfn.XLOOKUP(F166,customers!$B$1:$B$1001,customers!$C$1:$C$1001,,0)=0,"",_xlfn.XLOOKUP(F166,customers!$B$1:$B$1001,customers!$C$1:$C$1001,,0))</f>
        <v>cfeye4k@google.co.jp</v>
      </c>
      <c r="H166" s="2" t="str">
        <f>_xlfn.XLOOKUP(C166,customers!$A$1:$A$1001,customers!$G$1:$G$1001,,0)</f>
        <v>Ireland</v>
      </c>
      <c r="I166" t="str">
        <f>_xlfn.XLOOKUP(D166,products!$A$1:$A$49,products!$B$1:$B$49,,0)</f>
        <v>Exc</v>
      </c>
      <c r="J166" t="str">
        <f>_xlfn.XLOOKUP(D166,products!$A$1:$A$49,products!$C$1:$C$49,,0)</f>
        <v>D</v>
      </c>
      <c r="K166" s="5">
        <f>_xlfn.XLOOKUP(D166,products!$A$1:$A$49,products!$D$1:$D$49,,0)</f>
        <v>0.5</v>
      </c>
      <c r="L166" s="7">
        <f>_xlfn.XLOOKUP(D166,products!$A$1:$A$49,products!$E$1:$E$49,,0)</f>
        <v>7.29</v>
      </c>
      <c r="M166" s="7">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IF(_xlfn.XLOOKUP(F167,customers!$B$1:$B$1001,customers!$C$1:$C$1001,,0)=0,"",_xlfn.XLOOKUP(F167,customers!$B$1:$B$1001,customers!$C$1:$C$1001,,0))</f>
        <v/>
      </c>
      <c r="H167" s="2" t="str">
        <f>_xlfn.XLOOKUP(C167,customers!$A$1:$A$1001,customers!$G$1:$G$1001,,0)</f>
        <v>United States</v>
      </c>
      <c r="I167" t="str">
        <f>_xlfn.XLOOKUP(D167,products!$A$1:$A$49,products!$B$1:$B$49,,0)</f>
        <v>Rob</v>
      </c>
      <c r="J167" t="str">
        <f>_xlfn.XLOOKUP(D167,products!$A$1:$A$49,products!$C$1:$C$49,,0)</f>
        <v>D</v>
      </c>
      <c r="K167" s="5">
        <f>_xlfn.XLOOKUP(D167,products!$A$1:$A$49,products!$D$1:$D$49,,0)</f>
        <v>1</v>
      </c>
      <c r="L167" s="7">
        <f>_xlfn.XLOOKUP(D167,products!$A$1:$A$49,products!$E$1:$E$49,,0)</f>
        <v>8.9499999999999993</v>
      </c>
      <c r="M167" s="7">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IF(_xlfn.XLOOKUP(F168,customers!$B$1:$B$1001,customers!$C$1:$C$1001,,0)=0,"",_xlfn.XLOOKUP(F168,customers!$B$1:$B$1001,customers!$C$1:$C$1001,,0))</f>
        <v/>
      </c>
      <c r="H168" s="2" t="str">
        <f>_xlfn.XLOOKUP(C168,customers!$A$1:$A$1001,customers!$G$1:$G$1001,,0)</f>
        <v>United States</v>
      </c>
      <c r="I168" t="str">
        <f>_xlfn.XLOOKUP(D168,products!$A$1:$A$49,products!$B$1:$B$49,,0)</f>
        <v>Rob</v>
      </c>
      <c r="J168" t="str">
        <f>_xlfn.XLOOKUP(D168,products!$A$1:$A$49,products!$C$1:$C$49,,0)</f>
        <v>D</v>
      </c>
      <c r="K168" s="5">
        <f>_xlfn.XLOOKUP(D168,products!$A$1:$A$49,products!$D$1:$D$49,,0)</f>
        <v>0.5</v>
      </c>
      <c r="L168" s="7">
        <f>_xlfn.XLOOKUP(D168,products!$A$1:$A$49,products!$E$1:$E$49,,0)</f>
        <v>5.3699999999999992</v>
      </c>
      <c r="M168" s="7">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IF(_xlfn.XLOOKUP(F169,customers!$B$1:$B$1001,customers!$C$1:$C$1001,,0)=0,"",_xlfn.XLOOKUP(F169,customers!$B$1:$B$1001,customers!$C$1:$C$1001,,0))</f>
        <v>tfero4n@comsenz.com</v>
      </c>
      <c r="H169" s="2" t="str">
        <f>_xlfn.XLOOKUP(C169,customers!$A$1:$A$1001,customers!$G$1:$G$1001,,0)</f>
        <v>United States</v>
      </c>
      <c r="I169" t="str">
        <f>_xlfn.XLOOKUP(D169,products!$A$1:$A$49,products!$B$1:$B$49,,0)</f>
        <v>Exc</v>
      </c>
      <c r="J169" t="str">
        <f>_xlfn.XLOOKUP(D169,products!$A$1:$A$49,products!$C$1:$C$49,,0)</f>
        <v>M</v>
      </c>
      <c r="K169" s="5">
        <f>_xlfn.XLOOKUP(D169,products!$A$1:$A$49,products!$D$1:$D$49,,0)</f>
        <v>0.5</v>
      </c>
      <c r="L169" s="7">
        <f>_xlfn.XLOOKUP(D169,products!$A$1:$A$49,products!$E$1:$E$49,,0)</f>
        <v>8.25</v>
      </c>
      <c r="M169" s="7">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IF(_xlfn.XLOOKUP(F170,customers!$B$1:$B$1001,customers!$C$1:$C$1001,,0)=0,"",_xlfn.XLOOKUP(F170,customers!$B$1:$B$1001,customers!$C$1:$C$1001,,0))</f>
        <v/>
      </c>
      <c r="H170" s="2" t="str">
        <f>_xlfn.XLOOKUP(C170,customers!$A$1:$A$1001,customers!$G$1:$G$1001,,0)</f>
        <v>Ireland</v>
      </c>
      <c r="I170" t="str">
        <f>_xlfn.XLOOKUP(D170,products!$A$1:$A$49,products!$B$1:$B$49,,0)</f>
        <v>Ara</v>
      </c>
      <c r="J170" t="str">
        <f>_xlfn.XLOOKUP(D170,products!$A$1:$A$49,products!$C$1:$C$49,,0)</f>
        <v>M</v>
      </c>
      <c r="K170" s="5">
        <f>_xlfn.XLOOKUP(D170,products!$A$1:$A$49,products!$D$1:$D$49,,0)</f>
        <v>0.5</v>
      </c>
      <c r="L170" s="7">
        <f>_xlfn.XLOOKUP(D170,products!$A$1:$A$49,products!$E$1:$E$49,,0)</f>
        <v>6.75</v>
      </c>
      <c r="M170" s="7">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IF(_xlfn.XLOOKUP(F171,customers!$B$1:$B$1001,customers!$C$1:$C$1001,,0)=0,"",_xlfn.XLOOKUP(F171,customers!$B$1:$B$1001,customers!$C$1:$C$1001,,0))</f>
        <v>fdauney4p@sphinn.com</v>
      </c>
      <c r="H171" s="2" t="str">
        <f>_xlfn.XLOOKUP(C171,customers!$A$1:$A$1001,customers!$G$1:$G$1001,,0)</f>
        <v>Ireland</v>
      </c>
      <c r="I171" t="str">
        <f>_xlfn.XLOOKUP(D171,products!$A$1:$A$49,products!$B$1:$B$49,,0)</f>
        <v>Rob</v>
      </c>
      <c r="J171" t="str">
        <f>_xlfn.XLOOKUP(D171,products!$A$1:$A$49,products!$C$1:$C$49,,0)</f>
        <v>D</v>
      </c>
      <c r="K171" s="5">
        <f>_xlfn.XLOOKUP(D171,products!$A$1:$A$49,products!$D$1:$D$49,,0)</f>
        <v>1</v>
      </c>
      <c r="L171" s="7">
        <f>_xlfn.XLOOKUP(D171,products!$A$1:$A$49,products!$E$1:$E$49,,0)</f>
        <v>8.9499999999999993</v>
      </c>
      <c r="M171" s="7">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IF(_xlfn.XLOOKUP(F172,customers!$B$1:$B$1001,customers!$C$1:$C$1001,,0)=0,"",_xlfn.XLOOKUP(F172,customers!$B$1:$B$1001,customers!$C$1:$C$1001,,0))</f>
        <v>searley4q@youku.com</v>
      </c>
      <c r="H172" s="2" t="str">
        <f>_xlfn.XLOOKUP(C172,customers!$A$1:$A$1001,customers!$G$1:$G$1001,,0)</f>
        <v>United Kingdom</v>
      </c>
      <c r="I172" t="str">
        <f>_xlfn.XLOOKUP(D172,products!$A$1:$A$49,products!$B$1:$B$49,,0)</f>
        <v>Exc</v>
      </c>
      <c r="J172" t="str">
        <f>_xlfn.XLOOKUP(D172,products!$A$1:$A$49,products!$C$1:$C$49,,0)</f>
        <v>L</v>
      </c>
      <c r="K172" s="5">
        <f>_xlfn.XLOOKUP(D172,products!$A$1:$A$49,products!$D$1:$D$49,,0)</f>
        <v>2.5</v>
      </c>
      <c r="L172" s="7">
        <f>_xlfn.XLOOKUP(D172,products!$A$1:$A$49,products!$E$1:$E$49,,0)</f>
        <v>34.154999999999994</v>
      </c>
      <c r="M172" s="7">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IF(_xlfn.XLOOKUP(F173,customers!$B$1:$B$1001,customers!$C$1:$C$1001,,0)=0,"",_xlfn.XLOOKUP(F173,customers!$B$1:$B$1001,customers!$C$1:$C$1001,,0))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5">
        <f>_xlfn.XLOOKUP(D173,products!$A$1:$A$49,products!$D$1:$D$49,,0)</f>
        <v>2.5</v>
      </c>
      <c r="L173" s="7">
        <f>_xlfn.XLOOKUP(D173,products!$A$1:$A$49,products!$E$1:$E$49,,0)</f>
        <v>31.624999999999996</v>
      </c>
      <c r="M173" s="7">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IF(_xlfn.XLOOKUP(F174,customers!$B$1:$B$1001,customers!$C$1:$C$1001,,0)=0,"",_xlfn.XLOOKUP(F174,customers!$B$1:$B$1001,customers!$C$1:$C$1001,,0))</f>
        <v>bflaherty4s@moonfruit.com</v>
      </c>
      <c r="H174" s="2" t="str">
        <f>_xlfn.XLOOKUP(C174,customers!$A$1:$A$1001,customers!$G$1:$G$1001,,0)</f>
        <v>Ireland</v>
      </c>
      <c r="I174" t="str">
        <f>_xlfn.XLOOKUP(D174,products!$A$1:$A$49,products!$B$1:$B$49,,0)</f>
        <v>Exc</v>
      </c>
      <c r="J174" t="str">
        <f>_xlfn.XLOOKUP(D174,products!$A$1:$A$49,products!$C$1:$C$49,,0)</f>
        <v>D</v>
      </c>
      <c r="K174" s="5">
        <f>_xlfn.XLOOKUP(D174,products!$A$1:$A$49,products!$D$1:$D$49,,0)</f>
        <v>0.5</v>
      </c>
      <c r="L174" s="7">
        <f>_xlfn.XLOOKUP(D174,products!$A$1:$A$49,products!$E$1:$E$49,,0)</f>
        <v>7.29</v>
      </c>
      <c r="M174" s="7">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IF(_xlfn.XLOOKUP(F175,customers!$B$1:$B$1001,customers!$C$1:$C$1001,,0)=0,"",_xlfn.XLOOKUP(F175,customers!$B$1:$B$1001,customers!$C$1:$C$1001,,0))</f>
        <v>ocolbeck4t@sina.com.cn</v>
      </c>
      <c r="H175" s="2" t="str">
        <f>_xlfn.XLOOKUP(C175,customers!$A$1:$A$1001,customers!$G$1:$G$1001,,0)</f>
        <v>United States</v>
      </c>
      <c r="I175" t="str">
        <f>_xlfn.XLOOKUP(D175,products!$A$1:$A$49,products!$B$1:$B$49,,0)</f>
        <v>Rob</v>
      </c>
      <c r="J175" t="str">
        <f>_xlfn.XLOOKUP(D175,products!$A$1:$A$49,products!$C$1:$C$49,,0)</f>
        <v>M</v>
      </c>
      <c r="K175" s="5">
        <f>_xlfn.XLOOKUP(D175,products!$A$1:$A$49,products!$D$1:$D$49,,0)</f>
        <v>2.5</v>
      </c>
      <c r="L175" s="7">
        <f>_xlfn.XLOOKUP(D175,products!$A$1:$A$49,products!$E$1:$E$49,,0)</f>
        <v>22.884999999999998</v>
      </c>
      <c r="M175" s="7">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IF(_xlfn.XLOOKUP(F176,customers!$B$1:$B$1001,customers!$C$1:$C$1001,,0)=0,"",_xlfn.XLOOKUP(F176,customers!$B$1:$B$1001,customers!$C$1:$C$1001,,0))</f>
        <v/>
      </c>
      <c r="H176" s="2" t="str">
        <f>_xlfn.XLOOKUP(C176,customers!$A$1:$A$1001,customers!$G$1:$G$1001,,0)</f>
        <v>United States</v>
      </c>
      <c r="I176" t="str">
        <f>_xlfn.XLOOKUP(D176,products!$A$1:$A$49,products!$B$1:$B$49,,0)</f>
        <v>Exc</v>
      </c>
      <c r="J176" t="str">
        <f>_xlfn.XLOOKUP(D176,products!$A$1:$A$49,products!$C$1:$C$49,,0)</f>
        <v>L</v>
      </c>
      <c r="K176" s="5">
        <f>_xlfn.XLOOKUP(D176,products!$A$1:$A$49,products!$D$1:$D$49,,0)</f>
        <v>2.5</v>
      </c>
      <c r="L176" s="7">
        <f>_xlfn.XLOOKUP(D176,products!$A$1:$A$49,products!$E$1:$E$49,,0)</f>
        <v>34.154999999999994</v>
      </c>
      <c r="M176" s="7">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IF(_xlfn.XLOOKUP(F177,customers!$B$1:$B$1001,customers!$C$1:$C$1001,,0)=0,"",_xlfn.XLOOKUP(F177,customers!$B$1:$B$1001,customers!$C$1:$C$1001,,0))</f>
        <v>ehobbing4v@nsw.gov.au</v>
      </c>
      <c r="H177" s="2" t="str">
        <f>_xlfn.XLOOKUP(C177,customers!$A$1:$A$1001,customers!$G$1:$G$1001,,0)</f>
        <v>United States</v>
      </c>
      <c r="I177" t="str">
        <f>_xlfn.XLOOKUP(D177,products!$A$1:$A$49,products!$B$1:$B$49,,0)</f>
        <v>Exc</v>
      </c>
      <c r="J177" t="str">
        <f>_xlfn.XLOOKUP(D177,products!$A$1:$A$49,products!$C$1:$C$49,,0)</f>
        <v>M</v>
      </c>
      <c r="K177" s="5">
        <f>_xlfn.XLOOKUP(D177,products!$A$1:$A$49,products!$D$1:$D$49,,0)</f>
        <v>2.5</v>
      </c>
      <c r="L177" s="7">
        <f>_xlfn.XLOOKUP(D177,products!$A$1:$A$49,products!$E$1:$E$49,,0)</f>
        <v>31.624999999999996</v>
      </c>
      <c r="M177" s="7">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IF(_xlfn.XLOOKUP(F178,customers!$B$1:$B$1001,customers!$C$1:$C$1001,,0)=0,"",_xlfn.XLOOKUP(F178,customers!$B$1:$B$1001,customers!$C$1:$C$1001,,0))</f>
        <v>othynne4w@auda.org.au</v>
      </c>
      <c r="H178" s="2" t="str">
        <f>_xlfn.XLOOKUP(C178,customers!$A$1:$A$1001,customers!$G$1:$G$1001,,0)</f>
        <v>United States</v>
      </c>
      <c r="I178" t="str">
        <f>_xlfn.XLOOKUP(D178,products!$A$1:$A$49,products!$B$1:$B$49,,0)</f>
        <v>Exc</v>
      </c>
      <c r="J178" t="str">
        <f>_xlfn.XLOOKUP(D178,products!$A$1:$A$49,products!$C$1:$C$49,,0)</f>
        <v>L</v>
      </c>
      <c r="K178" s="5">
        <f>_xlfn.XLOOKUP(D178,products!$A$1:$A$49,products!$D$1:$D$49,,0)</f>
        <v>2.5</v>
      </c>
      <c r="L178" s="7">
        <f>_xlfn.XLOOKUP(D178,products!$A$1:$A$49,products!$E$1:$E$49,,0)</f>
        <v>34.154999999999994</v>
      </c>
      <c r="M178" s="7">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IF(_xlfn.XLOOKUP(F179,customers!$B$1:$B$1001,customers!$C$1:$C$1001,,0)=0,"",_xlfn.XLOOKUP(F179,customers!$B$1:$B$1001,customers!$C$1:$C$1001,,0))</f>
        <v>eheining4x@flickr.com</v>
      </c>
      <c r="H179" s="2" t="str">
        <f>_xlfn.XLOOKUP(C179,customers!$A$1:$A$1001,customers!$G$1:$G$1001,,0)</f>
        <v>United States</v>
      </c>
      <c r="I179" t="str">
        <f>_xlfn.XLOOKUP(D179,products!$A$1:$A$49,products!$B$1:$B$49,,0)</f>
        <v>Rob</v>
      </c>
      <c r="J179" t="str">
        <f>_xlfn.XLOOKUP(D179,products!$A$1:$A$49,products!$C$1:$C$49,,0)</f>
        <v>L</v>
      </c>
      <c r="K179" s="5">
        <f>_xlfn.XLOOKUP(D179,products!$A$1:$A$49,products!$D$1:$D$49,,0)</f>
        <v>2.5</v>
      </c>
      <c r="L179" s="7">
        <f>_xlfn.XLOOKUP(D179,products!$A$1:$A$49,products!$E$1:$E$49,,0)</f>
        <v>27.484999999999996</v>
      </c>
      <c r="M179" s="7">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IF(_xlfn.XLOOKUP(F180,customers!$B$1:$B$1001,customers!$C$1:$C$1001,,0)=0,"",_xlfn.XLOOKUP(F180,customers!$B$1:$B$1001,customers!$C$1:$C$1001,,0))</f>
        <v>kmelloi4y@imdb.com</v>
      </c>
      <c r="H180" s="2" t="str">
        <f>_xlfn.XLOOKUP(C180,customers!$A$1:$A$1001,customers!$G$1:$G$1001,,0)</f>
        <v>United States</v>
      </c>
      <c r="I180" t="str">
        <f>_xlfn.XLOOKUP(D180,products!$A$1:$A$49,products!$B$1:$B$49,,0)</f>
        <v>Ara</v>
      </c>
      <c r="J180" t="str">
        <f>_xlfn.XLOOKUP(D180,products!$A$1:$A$49,products!$C$1:$C$49,,0)</f>
        <v>L</v>
      </c>
      <c r="K180" s="5">
        <f>_xlfn.XLOOKUP(D180,products!$A$1:$A$49,products!$D$1:$D$49,,0)</f>
        <v>1</v>
      </c>
      <c r="L180" s="7">
        <f>_xlfn.XLOOKUP(D180,products!$A$1:$A$49,products!$E$1:$E$49,,0)</f>
        <v>12.95</v>
      </c>
      <c r="M180" s="7">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IF(_xlfn.XLOOKUP(F181,customers!$B$1:$B$1001,customers!$C$1:$C$1001,,0)=0,"",_xlfn.XLOOKUP(F181,customers!$B$1:$B$1001,customers!$C$1:$C$1001,,0))</f>
        <v/>
      </c>
      <c r="H181" s="2" t="str">
        <f>_xlfn.XLOOKUP(C181,customers!$A$1:$A$1001,customers!$G$1:$G$1001,,0)</f>
        <v>Ireland</v>
      </c>
      <c r="I181" t="str">
        <f>_xlfn.XLOOKUP(D181,products!$A$1:$A$49,products!$B$1:$B$49,,0)</f>
        <v>Ara</v>
      </c>
      <c r="J181" t="str">
        <f>_xlfn.XLOOKUP(D181,products!$A$1:$A$49,products!$C$1:$C$49,,0)</f>
        <v>D</v>
      </c>
      <c r="K181" s="5">
        <f>_xlfn.XLOOKUP(D181,products!$A$1:$A$49,products!$D$1:$D$49,,0)</f>
        <v>0.2</v>
      </c>
      <c r="L181" s="7">
        <f>_xlfn.XLOOKUP(D181,products!$A$1:$A$49,products!$E$1:$E$49,,0)</f>
        <v>2.9849999999999999</v>
      </c>
      <c r="M181" s="7">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IF(_xlfn.XLOOKUP(F182,customers!$B$1:$B$1001,customers!$C$1:$C$1001,,0)=0,"",_xlfn.XLOOKUP(F182,customers!$B$1:$B$1001,customers!$C$1:$C$1001,,0))</f>
        <v>amussen50@51.la</v>
      </c>
      <c r="H182" s="2" t="str">
        <f>_xlfn.XLOOKUP(C182,customers!$A$1:$A$1001,customers!$G$1:$G$1001,,0)</f>
        <v>United States</v>
      </c>
      <c r="I182" t="str">
        <f>_xlfn.XLOOKUP(D182,products!$A$1:$A$49,products!$B$1:$B$49,,0)</f>
        <v>Exc</v>
      </c>
      <c r="J182" t="str">
        <f>_xlfn.XLOOKUP(D182,products!$A$1:$A$49,products!$C$1:$C$49,,0)</f>
        <v>L</v>
      </c>
      <c r="K182" s="5">
        <f>_xlfn.XLOOKUP(D182,products!$A$1:$A$49,products!$D$1:$D$49,,0)</f>
        <v>0.2</v>
      </c>
      <c r="L182" s="7">
        <f>_xlfn.XLOOKUP(D182,products!$A$1:$A$49,products!$E$1:$E$49,,0)</f>
        <v>4.4550000000000001</v>
      </c>
      <c r="M182" s="7">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IF(_xlfn.XLOOKUP(F183,customers!$B$1:$B$1001,customers!$C$1:$C$1001,,0)=0,"",_xlfn.XLOOKUP(F183,customers!$B$1:$B$1001,customers!$C$1:$C$1001,,0))</f>
        <v>amussen50@51.la</v>
      </c>
      <c r="H183" s="2" t="str">
        <f>_xlfn.XLOOKUP(C183,customers!$A$1:$A$1001,customers!$G$1:$G$1001,,0)</f>
        <v>United States</v>
      </c>
      <c r="I183" t="str">
        <f>_xlfn.XLOOKUP(D183,products!$A$1:$A$49,products!$B$1:$B$49,,0)</f>
        <v>Ara</v>
      </c>
      <c r="J183" t="str">
        <f>_xlfn.XLOOKUP(D183,products!$A$1:$A$49,products!$C$1:$C$49,,0)</f>
        <v>D</v>
      </c>
      <c r="K183" s="5">
        <f>_xlfn.XLOOKUP(D183,products!$A$1:$A$49,products!$D$1:$D$49,,0)</f>
        <v>0.5</v>
      </c>
      <c r="L183" s="7">
        <f>_xlfn.XLOOKUP(D183,products!$A$1:$A$49,products!$E$1:$E$49,,0)</f>
        <v>5.97</v>
      </c>
      <c r="M183" s="7">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IF(_xlfn.XLOOKUP(F184,customers!$B$1:$B$1001,customers!$C$1:$C$1001,,0)=0,"",_xlfn.XLOOKUP(F184,customers!$B$1:$B$1001,customers!$C$1:$C$1001,,0))</f>
        <v>amundford52@nbcnews.com</v>
      </c>
      <c r="H184" s="2" t="str">
        <f>_xlfn.XLOOKUP(C184,customers!$A$1:$A$1001,customers!$G$1:$G$1001,,0)</f>
        <v>United States</v>
      </c>
      <c r="I184" t="str">
        <f>_xlfn.XLOOKUP(D184,products!$A$1:$A$49,products!$B$1:$B$49,,0)</f>
        <v>Rob</v>
      </c>
      <c r="J184" t="str">
        <f>_xlfn.XLOOKUP(D184,products!$A$1:$A$49,products!$C$1:$C$49,,0)</f>
        <v>D</v>
      </c>
      <c r="K184" s="5">
        <f>_xlfn.XLOOKUP(D184,products!$A$1:$A$49,products!$D$1:$D$49,,0)</f>
        <v>0.5</v>
      </c>
      <c r="L184" s="7">
        <f>_xlfn.XLOOKUP(D184,products!$A$1:$A$49,products!$E$1:$E$49,,0)</f>
        <v>5.3699999999999992</v>
      </c>
      <c r="M184" s="7">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IF(_xlfn.XLOOKUP(F185,customers!$B$1:$B$1001,customers!$C$1:$C$1001,,0)=0,"",_xlfn.XLOOKUP(F185,customers!$B$1:$B$1001,customers!$C$1:$C$1001,,0))</f>
        <v>twalas53@google.ca</v>
      </c>
      <c r="H185" s="2" t="str">
        <f>_xlfn.XLOOKUP(C185,customers!$A$1:$A$1001,customers!$G$1:$G$1001,,0)</f>
        <v>United States</v>
      </c>
      <c r="I185" t="str">
        <f>_xlfn.XLOOKUP(D185,products!$A$1:$A$49,products!$B$1:$B$49,,0)</f>
        <v>Exc</v>
      </c>
      <c r="J185" t="str">
        <f>_xlfn.XLOOKUP(D185,products!$A$1:$A$49,products!$C$1:$C$49,,0)</f>
        <v>M</v>
      </c>
      <c r="K185" s="5">
        <f>_xlfn.XLOOKUP(D185,products!$A$1:$A$49,products!$D$1:$D$49,,0)</f>
        <v>0.2</v>
      </c>
      <c r="L185" s="7">
        <f>_xlfn.XLOOKUP(D185,products!$A$1:$A$49,products!$E$1:$E$49,,0)</f>
        <v>4.125</v>
      </c>
      <c r="M185" s="7">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IF(_xlfn.XLOOKUP(F186,customers!$B$1:$B$1001,customers!$C$1:$C$1001,,0)=0,"",_xlfn.XLOOKUP(F186,customers!$B$1:$B$1001,customers!$C$1:$C$1001,,0))</f>
        <v>iblazewicz54@thetimes.co.uk</v>
      </c>
      <c r="H186" s="2" t="str">
        <f>_xlfn.XLOOKUP(C186,customers!$A$1:$A$1001,customers!$G$1:$G$1001,,0)</f>
        <v>United States</v>
      </c>
      <c r="I186" t="str">
        <f>_xlfn.XLOOKUP(D186,products!$A$1:$A$49,products!$B$1:$B$49,,0)</f>
        <v>Ara</v>
      </c>
      <c r="J186" t="str">
        <f>_xlfn.XLOOKUP(D186,products!$A$1:$A$49,products!$C$1:$C$49,,0)</f>
        <v>L</v>
      </c>
      <c r="K186" s="5">
        <f>_xlfn.XLOOKUP(D186,products!$A$1:$A$49,products!$D$1:$D$49,,0)</f>
        <v>0.5</v>
      </c>
      <c r="L186" s="7">
        <f>_xlfn.XLOOKUP(D186,products!$A$1:$A$49,products!$E$1:$E$49,,0)</f>
        <v>7.77</v>
      </c>
      <c r="M186" s="7">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IF(_xlfn.XLOOKUP(F187,customers!$B$1:$B$1001,customers!$C$1:$C$1001,,0)=0,"",_xlfn.XLOOKUP(F187,customers!$B$1:$B$1001,customers!$C$1:$C$1001,,0))</f>
        <v>arizzetti55@naver.com</v>
      </c>
      <c r="H187" s="2" t="str">
        <f>_xlfn.XLOOKUP(C187,customers!$A$1:$A$1001,customers!$G$1:$G$1001,,0)</f>
        <v>United States</v>
      </c>
      <c r="I187" t="str">
        <f>_xlfn.XLOOKUP(D187,products!$A$1:$A$49,products!$B$1:$B$49,,0)</f>
        <v>Exc</v>
      </c>
      <c r="J187" t="str">
        <f>_xlfn.XLOOKUP(D187,products!$A$1:$A$49,products!$C$1:$C$49,,0)</f>
        <v>D</v>
      </c>
      <c r="K187" s="5">
        <f>_xlfn.XLOOKUP(D187,products!$A$1:$A$49,products!$D$1:$D$49,,0)</f>
        <v>0.5</v>
      </c>
      <c r="L187" s="7">
        <f>_xlfn.XLOOKUP(D187,products!$A$1:$A$49,products!$E$1:$E$49,,0)</f>
        <v>7.29</v>
      </c>
      <c r="M187" s="7">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IF(_xlfn.XLOOKUP(F188,customers!$B$1:$B$1001,customers!$C$1:$C$1001,,0)=0,"",_xlfn.XLOOKUP(F188,customers!$B$1:$B$1001,customers!$C$1:$C$1001,,0))</f>
        <v>mmeriet56@noaa.gov</v>
      </c>
      <c r="H188" s="2" t="str">
        <f>_xlfn.XLOOKUP(C188,customers!$A$1:$A$1001,customers!$G$1:$G$1001,,0)</f>
        <v>United States</v>
      </c>
      <c r="I188" t="str">
        <f>_xlfn.XLOOKUP(D188,products!$A$1:$A$49,products!$B$1:$B$49,,0)</f>
        <v>Rob</v>
      </c>
      <c r="J188" t="str">
        <f>_xlfn.XLOOKUP(D188,products!$A$1:$A$49,products!$C$1:$C$49,,0)</f>
        <v>M</v>
      </c>
      <c r="K188" s="5">
        <f>_xlfn.XLOOKUP(D188,products!$A$1:$A$49,products!$D$1:$D$49,,0)</f>
        <v>2.5</v>
      </c>
      <c r="L188" s="7">
        <f>_xlfn.XLOOKUP(D188,products!$A$1:$A$49,products!$E$1:$E$49,,0)</f>
        <v>22.884999999999998</v>
      </c>
      <c r="M188" s="7">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IF(_xlfn.XLOOKUP(F189,customers!$B$1:$B$1001,customers!$C$1:$C$1001,,0)=0,"",_xlfn.XLOOKUP(F189,customers!$B$1:$B$1001,customers!$C$1:$C$1001,,0))</f>
        <v>lpratt57@netvibes.com</v>
      </c>
      <c r="H189" s="2" t="str">
        <f>_xlfn.XLOOKUP(C189,customers!$A$1:$A$1001,customers!$G$1:$G$1001,,0)</f>
        <v>United States</v>
      </c>
      <c r="I189" t="str">
        <f>_xlfn.XLOOKUP(D189,products!$A$1:$A$49,products!$B$1:$B$49,,0)</f>
        <v>Lib</v>
      </c>
      <c r="J189" t="str">
        <f>_xlfn.XLOOKUP(D189,products!$A$1:$A$49,products!$C$1:$C$49,,0)</f>
        <v>M</v>
      </c>
      <c r="K189" s="5">
        <f>_xlfn.XLOOKUP(D189,products!$A$1:$A$49,products!$D$1:$D$49,,0)</f>
        <v>0.5</v>
      </c>
      <c r="L189" s="7">
        <f>_xlfn.XLOOKUP(D189,products!$A$1:$A$49,products!$E$1:$E$49,,0)</f>
        <v>8.73</v>
      </c>
      <c r="M189" s="7">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IF(_xlfn.XLOOKUP(F190,customers!$B$1:$B$1001,customers!$C$1:$C$1001,,0)=0,"",_xlfn.XLOOKUP(F190,customers!$B$1:$B$1001,customers!$C$1:$C$1001,,0))</f>
        <v>akitchingham58@com.com</v>
      </c>
      <c r="H190" s="2" t="str">
        <f>_xlfn.XLOOKUP(C190,customers!$A$1:$A$1001,customers!$G$1:$G$1001,,0)</f>
        <v>United States</v>
      </c>
      <c r="I190" t="str">
        <f>_xlfn.XLOOKUP(D190,products!$A$1:$A$49,products!$B$1:$B$49,,0)</f>
        <v>Exc</v>
      </c>
      <c r="J190" t="str">
        <f>_xlfn.XLOOKUP(D190,products!$A$1:$A$49,products!$C$1:$C$49,,0)</f>
        <v>L</v>
      </c>
      <c r="K190" s="5">
        <f>_xlfn.XLOOKUP(D190,products!$A$1:$A$49,products!$D$1:$D$49,,0)</f>
        <v>0.2</v>
      </c>
      <c r="L190" s="7">
        <f>_xlfn.XLOOKUP(D190,products!$A$1:$A$49,products!$E$1:$E$49,,0)</f>
        <v>4.4550000000000001</v>
      </c>
      <c r="M190" s="7">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IF(_xlfn.XLOOKUP(F191,customers!$B$1:$B$1001,customers!$C$1:$C$1001,,0)=0,"",_xlfn.XLOOKUP(F191,customers!$B$1:$B$1001,customers!$C$1:$C$1001,,0))</f>
        <v>bbartholin59@xinhuanet.com</v>
      </c>
      <c r="H191" s="2" t="str">
        <f>_xlfn.XLOOKUP(C191,customers!$A$1:$A$1001,customers!$G$1:$G$1001,,0)</f>
        <v>United States</v>
      </c>
      <c r="I191" t="str">
        <f>_xlfn.XLOOKUP(D191,products!$A$1:$A$49,products!$B$1:$B$49,,0)</f>
        <v>Lib</v>
      </c>
      <c r="J191" t="str">
        <f>_xlfn.XLOOKUP(D191,products!$A$1:$A$49,products!$C$1:$C$49,,0)</f>
        <v>M</v>
      </c>
      <c r="K191" s="5">
        <f>_xlfn.XLOOKUP(D191,products!$A$1:$A$49,products!$D$1:$D$49,,0)</f>
        <v>1</v>
      </c>
      <c r="L191" s="7">
        <f>_xlfn.XLOOKUP(D191,products!$A$1:$A$49,products!$E$1:$E$49,,0)</f>
        <v>14.55</v>
      </c>
      <c r="M191" s="7">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IF(_xlfn.XLOOKUP(F192,customers!$B$1:$B$1001,customers!$C$1:$C$1001,,0)=0,"",_xlfn.XLOOKUP(F192,customers!$B$1:$B$1001,customers!$C$1:$C$1001,,0))</f>
        <v>mprinn5a@usa.gov</v>
      </c>
      <c r="H192" s="2" t="str">
        <f>_xlfn.XLOOKUP(C192,customers!$A$1:$A$1001,customers!$G$1:$G$1001,,0)</f>
        <v>United States</v>
      </c>
      <c r="I192" t="str">
        <f>_xlfn.XLOOKUP(D192,products!$A$1:$A$49,products!$B$1:$B$49,,0)</f>
        <v>Lib</v>
      </c>
      <c r="J192" t="str">
        <f>_xlfn.XLOOKUP(D192,products!$A$1:$A$49,products!$C$1:$C$49,,0)</f>
        <v>M</v>
      </c>
      <c r="K192" s="5">
        <f>_xlfn.XLOOKUP(D192,products!$A$1:$A$49,products!$D$1:$D$49,,0)</f>
        <v>2.5</v>
      </c>
      <c r="L192" s="7">
        <f>_xlfn.XLOOKUP(D192,products!$A$1:$A$49,products!$E$1:$E$49,,0)</f>
        <v>33.464999999999996</v>
      </c>
      <c r="M192" s="7">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IF(_xlfn.XLOOKUP(F193,customers!$B$1:$B$1001,customers!$C$1:$C$1001,,0)=0,"",_xlfn.XLOOKUP(F193,customers!$B$1:$B$1001,customers!$C$1:$C$1001,,0))</f>
        <v>abaudino5b@netvibes.com</v>
      </c>
      <c r="H193" s="2" t="str">
        <f>_xlfn.XLOOKUP(C193,customers!$A$1:$A$1001,customers!$G$1:$G$1001,,0)</f>
        <v>United States</v>
      </c>
      <c r="I193" t="str">
        <f>_xlfn.XLOOKUP(D193,products!$A$1:$A$49,products!$B$1:$B$49,,0)</f>
        <v>Lib</v>
      </c>
      <c r="J193" t="str">
        <f>_xlfn.XLOOKUP(D193,products!$A$1:$A$49,products!$C$1:$C$49,,0)</f>
        <v>D</v>
      </c>
      <c r="K193" s="5">
        <f>_xlfn.XLOOKUP(D193,products!$A$1:$A$49,products!$D$1:$D$49,,0)</f>
        <v>0.2</v>
      </c>
      <c r="L193" s="7">
        <f>_xlfn.XLOOKUP(D193,products!$A$1:$A$49,products!$E$1:$E$49,,0)</f>
        <v>3.8849999999999998</v>
      </c>
      <c r="M193" s="7">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IF(_xlfn.XLOOKUP(F194,customers!$B$1:$B$1001,customers!$C$1:$C$1001,,0)=0,"",_xlfn.XLOOKUP(F194,customers!$B$1:$B$1001,customers!$C$1:$C$1001,,0))</f>
        <v>ppetrushanko5c@blinklist.com</v>
      </c>
      <c r="H194" s="2" t="str">
        <f>_xlfn.XLOOKUP(C194,customers!$A$1:$A$1001,customers!$G$1:$G$1001,,0)</f>
        <v>Ireland</v>
      </c>
      <c r="I194" t="str">
        <f>_xlfn.XLOOKUP(D194,products!$A$1:$A$49,products!$B$1:$B$49,,0)</f>
        <v>Exc</v>
      </c>
      <c r="J194" t="str">
        <f>_xlfn.XLOOKUP(D194,products!$A$1:$A$49,products!$C$1:$C$49,,0)</f>
        <v>D</v>
      </c>
      <c r="K194" s="5">
        <f>_xlfn.XLOOKUP(D194,products!$A$1:$A$49,products!$D$1:$D$49,,0)</f>
        <v>1</v>
      </c>
      <c r="L194" s="7">
        <f>_xlfn.XLOOKUP(D194,products!$A$1:$A$49,products!$E$1:$E$49,,0)</f>
        <v>12.15</v>
      </c>
      <c r="M194" s="7">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IF(_xlfn.XLOOKUP(F195,customers!$B$1:$B$1001,customers!$C$1:$C$1001,,0)=0,"",_xlfn.XLOOKUP(F195,customers!$B$1:$B$1001,customers!$C$1:$C$1001,,0))</f>
        <v/>
      </c>
      <c r="H195" s="2" t="str">
        <f>_xlfn.XLOOKUP(C195,customers!$A$1:$A$1001,customers!$G$1:$G$1001,,0)</f>
        <v>United States</v>
      </c>
      <c r="I195" t="str">
        <f>_xlfn.XLOOKUP(D195,products!$A$1:$A$49,products!$B$1:$B$49,,0)</f>
        <v>Exc</v>
      </c>
      <c r="J195" t="str">
        <f>_xlfn.XLOOKUP(D195,products!$A$1:$A$49,products!$C$1:$C$49,,0)</f>
        <v>L</v>
      </c>
      <c r="K195" s="5">
        <f>_xlfn.XLOOKUP(D195,products!$A$1:$A$49,products!$D$1:$D$49,,0)</f>
        <v>1</v>
      </c>
      <c r="L195" s="7">
        <f>_xlfn.XLOOKUP(D195,products!$A$1:$A$49,products!$E$1:$E$49,,0)</f>
        <v>14.85</v>
      </c>
      <c r="M195" s="7">
        <f t="shared" ref="M195:M258" si="9">(L195*E195)</f>
        <v>44.55</v>
      </c>
      <c r="N195" t="str">
        <f t="shared" ref="N195:N258" si="10">IF(I195="Rob","Robusta", 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IF(_xlfn.XLOOKUP(F196,customers!$B$1:$B$1001,customers!$C$1:$C$1001,,0)=0,"",_xlfn.XLOOKUP(F196,customers!$B$1:$B$1001,customers!$C$1:$C$1001,,0))</f>
        <v>elaird5e@bing.com</v>
      </c>
      <c r="H196" s="2" t="str">
        <f>_xlfn.XLOOKUP(C196,customers!$A$1:$A$1001,customers!$G$1:$G$1001,,0)</f>
        <v>United States</v>
      </c>
      <c r="I196" t="str">
        <f>_xlfn.XLOOKUP(D196,products!$A$1:$A$49,products!$B$1:$B$49,,0)</f>
        <v>Exc</v>
      </c>
      <c r="J196" t="str">
        <f>_xlfn.XLOOKUP(D196,products!$A$1:$A$49,products!$C$1:$C$49,,0)</f>
        <v>D</v>
      </c>
      <c r="K196" s="5">
        <f>_xlfn.XLOOKUP(D196,products!$A$1:$A$49,products!$D$1:$D$49,,0)</f>
        <v>0.5</v>
      </c>
      <c r="L196" s="7">
        <f>_xlfn.XLOOKUP(D196,products!$A$1:$A$49,products!$E$1:$E$49,,0)</f>
        <v>7.29</v>
      </c>
      <c r="M196" s="7">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IF(_xlfn.XLOOKUP(F197,customers!$B$1:$B$1001,customers!$C$1:$C$1001,,0)=0,"",_xlfn.XLOOKUP(F197,customers!$B$1:$B$1001,customers!$C$1:$C$1001,,0))</f>
        <v>mhowsden5f@infoseek.co.jp</v>
      </c>
      <c r="H197" s="2" t="str">
        <f>_xlfn.XLOOKUP(C197,customers!$A$1:$A$1001,customers!$G$1:$G$1001,,0)</f>
        <v>United States</v>
      </c>
      <c r="I197" t="str">
        <f>_xlfn.XLOOKUP(D197,products!$A$1:$A$49,products!$B$1:$B$49,,0)</f>
        <v>Ara</v>
      </c>
      <c r="J197" t="str">
        <f>_xlfn.XLOOKUP(D197,products!$A$1:$A$49,products!$C$1:$C$49,,0)</f>
        <v>L</v>
      </c>
      <c r="K197" s="5">
        <f>_xlfn.XLOOKUP(D197,products!$A$1:$A$49,products!$D$1:$D$49,,0)</f>
        <v>1</v>
      </c>
      <c r="L197" s="7">
        <f>_xlfn.XLOOKUP(D197,products!$A$1:$A$49,products!$E$1:$E$49,,0)</f>
        <v>12.95</v>
      </c>
      <c r="M197" s="7">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IF(_xlfn.XLOOKUP(F198,customers!$B$1:$B$1001,customers!$C$1:$C$1001,,0)=0,"",_xlfn.XLOOKUP(F198,customers!$B$1:$B$1001,customers!$C$1:$C$1001,,0))</f>
        <v>ncuttler5g@parallels.com</v>
      </c>
      <c r="H198" s="2" t="str">
        <f>_xlfn.XLOOKUP(C198,customers!$A$1:$A$1001,customers!$G$1:$G$1001,,0)</f>
        <v>United States</v>
      </c>
      <c r="I198" t="str">
        <f>_xlfn.XLOOKUP(D198,products!$A$1:$A$49,products!$B$1:$B$49,,0)</f>
        <v>Exc</v>
      </c>
      <c r="J198" t="str">
        <f>_xlfn.XLOOKUP(D198,products!$A$1:$A$49,products!$C$1:$C$49,,0)</f>
        <v>L</v>
      </c>
      <c r="K198" s="5">
        <f>_xlfn.XLOOKUP(D198,products!$A$1:$A$49,products!$D$1:$D$49,,0)</f>
        <v>0.5</v>
      </c>
      <c r="L198" s="7">
        <f>_xlfn.XLOOKUP(D198,products!$A$1:$A$49,products!$E$1:$E$49,,0)</f>
        <v>8.91</v>
      </c>
      <c r="M198" s="7">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IF(_xlfn.XLOOKUP(F199,customers!$B$1:$B$1001,customers!$C$1:$C$1001,,0)=0,"",_xlfn.XLOOKUP(F199,customers!$B$1:$B$1001,customers!$C$1:$C$1001,,0))</f>
        <v>ncuttler5g@parallels.com</v>
      </c>
      <c r="H199" s="2" t="str">
        <f>_xlfn.XLOOKUP(C199,customers!$A$1:$A$1001,customers!$G$1:$G$1001,,0)</f>
        <v>United States</v>
      </c>
      <c r="I199" t="str">
        <f>_xlfn.XLOOKUP(D199,products!$A$1:$A$49,products!$B$1:$B$49,,0)</f>
        <v>Lib</v>
      </c>
      <c r="J199" t="str">
        <f>_xlfn.XLOOKUP(D199,products!$A$1:$A$49,products!$C$1:$C$49,,0)</f>
        <v>D</v>
      </c>
      <c r="K199" s="5">
        <f>_xlfn.XLOOKUP(D199,products!$A$1:$A$49,products!$D$1:$D$49,,0)</f>
        <v>2.5</v>
      </c>
      <c r="L199" s="7">
        <f>_xlfn.XLOOKUP(D199,products!$A$1:$A$49,products!$E$1:$E$49,,0)</f>
        <v>29.784999999999997</v>
      </c>
      <c r="M199" s="7">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IF(_xlfn.XLOOKUP(F200,customers!$B$1:$B$1001,customers!$C$1:$C$1001,,0)=0,"",_xlfn.XLOOKUP(F200,customers!$B$1:$B$1001,customers!$C$1:$C$1001,,0))</f>
        <v>ncuttler5g@parallels.com</v>
      </c>
      <c r="H200" s="2" t="str">
        <f>_xlfn.XLOOKUP(C200,customers!$A$1:$A$1001,customers!$G$1:$G$1001,,0)</f>
        <v>United States</v>
      </c>
      <c r="I200" t="str">
        <f>_xlfn.XLOOKUP(D200,products!$A$1:$A$49,products!$B$1:$B$49,,0)</f>
        <v>Lib</v>
      </c>
      <c r="J200" t="str">
        <f>_xlfn.XLOOKUP(D200,products!$A$1:$A$49,products!$C$1:$C$49,,0)</f>
        <v>D</v>
      </c>
      <c r="K200" s="5">
        <f>_xlfn.XLOOKUP(D200,products!$A$1:$A$49,products!$D$1:$D$49,,0)</f>
        <v>2.5</v>
      </c>
      <c r="L200" s="7">
        <f>_xlfn.XLOOKUP(D200,products!$A$1:$A$49,products!$E$1:$E$49,,0)</f>
        <v>29.784999999999997</v>
      </c>
      <c r="M200" s="7">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IF(_xlfn.XLOOKUP(F201,customers!$B$1:$B$1001,customers!$C$1:$C$1001,,0)=0,"",_xlfn.XLOOKUP(F201,customers!$B$1:$B$1001,customers!$C$1:$C$1001,,0))</f>
        <v>ncuttler5g@parallels.com</v>
      </c>
      <c r="H201" s="2" t="str">
        <f>_xlfn.XLOOKUP(C201,customers!$A$1:$A$1001,customers!$G$1:$G$1001,,0)</f>
        <v>United States</v>
      </c>
      <c r="I201" t="str">
        <f>_xlfn.XLOOKUP(D201,products!$A$1:$A$49,products!$B$1:$B$49,,0)</f>
        <v>Lib</v>
      </c>
      <c r="J201" t="str">
        <f>_xlfn.XLOOKUP(D201,products!$A$1:$A$49,products!$C$1:$C$49,,0)</f>
        <v>L</v>
      </c>
      <c r="K201" s="5">
        <f>_xlfn.XLOOKUP(D201,products!$A$1:$A$49,products!$D$1:$D$49,,0)</f>
        <v>0.5</v>
      </c>
      <c r="L201" s="7">
        <f>_xlfn.XLOOKUP(D201,products!$A$1:$A$49,products!$E$1:$E$49,,0)</f>
        <v>9.51</v>
      </c>
      <c r="M201" s="7">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IF(_xlfn.XLOOKUP(F202,customers!$B$1:$B$1001,customers!$C$1:$C$1001,,0)=0,"",_xlfn.XLOOKUP(F202,customers!$B$1:$B$1001,customers!$C$1:$C$1001,,0))</f>
        <v>ncuttler5g@parallels.com</v>
      </c>
      <c r="H202" s="2" t="str">
        <f>_xlfn.XLOOKUP(C202,customers!$A$1:$A$1001,customers!$G$1:$G$1001,,0)</f>
        <v>United States</v>
      </c>
      <c r="I202" t="str">
        <f>_xlfn.XLOOKUP(D202,products!$A$1:$A$49,products!$B$1:$B$49,,0)</f>
        <v>Exc</v>
      </c>
      <c r="J202" t="str">
        <f>_xlfn.XLOOKUP(D202,products!$A$1:$A$49,products!$C$1:$C$49,,0)</f>
        <v>M</v>
      </c>
      <c r="K202" s="5">
        <f>_xlfn.XLOOKUP(D202,products!$A$1:$A$49,products!$D$1:$D$49,,0)</f>
        <v>1</v>
      </c>
      <c r="L202" s="7">
        <f>_xlfn.XLOOKUP(D202,products!$A$1:$A$49,products!$E$1:$E$49,,0)</f>
        <v>13.75</v>
      </c>
      <c r="M202" s="7">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IF(_xlfn.XLOOKUP(F203,customers!$B$1:$B$1001,customers!$C$1:$C$1001,,0)=0,"",_xlfn.XLOOKUP(F203,customers!$B$1:$B$1001,customers!$C$1:$C$1001,,0))</f>
        <v/>
      </c>
      <c r="H203" s="2" t="str">
        <f>_xlfn.XLOOKUP(C203,customers!$A$1:$A$1001,customers!$G$1:$G$1001,,0)</f>
        <v>United States</v>
      </c>
      <c r="I203" t="str">
        <f>_xlfn.XLOOKUP(D203,products!$A$1:$A$49,products!$B$1:$B$49,,0)</f>
        <v>Lib</v>
      </c>
      <c r="J203" t="str">
        <f>_xlfn.XLOOKUP(D203,products!$A$1:$A$49,products!$C$1:$C$49,,0)</f>
        <v>L</v>
      </c>
      <c r="K203" s="5">
        <f>_xlfn.XLOOKUP(D203,products!$A$1:$A$49,products!$D$1:$D$49,,0)</f>
        <v>0.5</v>
      </c>
      <c r="L203" s="7">
        <f>_xlfn.XLOOKUP(D203,products!$A$1:$A$49,products!$E$1:$E$49,,0)</f>
        <v>9.51</v>
      </c>
      <c r="M203" s="7">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IF(_xlfn.XLOOKUP(F204,customers!$B$1:$B$1001,customers!$C$1:$C$1001,,0)=0,"",_xlfn.XLOOKUP(F204,customers!$B$1:$B$1001,customers!$C$1:$C$1001,,0))</f>
        <v>tfelip5m@typepad.com</v>
      </c>
      <c r="H204" s="2" t="str">
        <f>_xlfn.XLOOKUP(C204,customers!$A$1:$A$1001,customers!$G$1:$G$1001,,0)</f>
        <v>United States</v>
      </c>
      <c r="I204" t="str">
        <f>_xlfn.XLOOKUP(D204,products!$A$1:$A$49,products!$B$1:$B$49,,0)</f>
        <v>Lib</v>
      </c>
      <c r="J204" t="str">
        <f>_xlfn.XLOOKUP(D204,products!$A$1:$A$49,products!$C$1:$C$49,,0)</f>
        <v>D</v>
      </c>
      <c r="K204" s="5">
        <f>_xlfn.XLOOKUP(D204,products!$A$1:$A$49,products!$D$1:$D$49,,0)</f>
        <v>2.5</v>
      </c>
      <c r="L204" s="7">
        <f>_xlfn.XLOOKUP(D204,products!$A$1:$A$49,products!$E$1:$E$49,,0)</f>
        <v>29.784999999999997</v>
      </c>
      <c r="M204" s="7">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IF(_xlfn.XLOOKUP(F205,customers!$B$1:$B$1001,customers!$C$1:$C$1001,,0)=0,"",_xlfn.XLOOKUP(F205,customers!$B$1:$B$1001,customers!$C$1:$C$1001,,0))</f>
        <v>vle5n@disqus.com</v>
      </c>
      <c r="H205" s="2" t="str">
        <f>_xlfn.XLOOKUP(C205,customers!$A$1:$A$1001,customers!$G$1:$G$1001,,0)</f>
        <v>United States</v>
      </c>
      <c r="I205" t="str">
        <f>_xlfn.XLOOKUP(D205,products!$A$1:$A$49,products!$B$1:$B$49,,0)</f>
        <v>Lib</v>
      </c>
      <c r="J205" t="str">
        <f>_xlfn.XLOOKUP(D205,products!$A$1:$A$49,products!$C$1:$C$49,,0)</f>
        <v>L</v>
      </c>
      <c r="K205" s="5">
        <f>_xlfn.XLOOKUP(D205,products!$A$1:$A$49,products!$D$1:$D$49,,0)</f>
        <v>0.2</v>
      </c>
      <c r="L205" s="7">
        <f>_xlfn.XLOOKUP(D205,products!$A$1:$A$49,products!$E$1:$E$49,,0)</f>
        <v>4.7549999999999999</v>
      </c>
      <c r="M205" s="7">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IF(_xlfn.XLOOKUP(F206,customers!$B$1:$B$1001,customers!$C$1:$C$1001,,0)=0,"",_xlfn.XLOOKUP(F206,customers!$B$1:$B$1001,customers!$C$1:$C$1001,,0))</f>
        <v/>
      </c>
      <c r="H206" s="2" t="str">
        <f>_xlfn.XLOOKUP(C206,customers!$A$1:$A$1001,customers!$G$1:$G$1001,,0)</f>
        <v>United States</v>
      </c>
      <c r="I206" t="str">
        <f>_xlfn.XLOOKUP(D206,products!$A$1:$A$49,products!$B$1:$B$49,,0)</f>
        <v>Exc</v>
      </c>
      <c r="J206" t="str">
        <f>_xlfn.XLOOKUP(D206,products!$A$1:$A$49,products!$C$1:$C$49,,0)</f>
        <v>M</v>
      </c>
      <c r="K206" s="5">
        <f>_xlfn.XLOOKUP(D206,products!$A$1:$A$49,products!$D$1:$D$49,,0)</f>
        <v>1</v>
      </c>
      <c r="L206" s="7">
        <f>_xlfn.XLOOKUP(D206,products!$A$1:$A$49,products!$E$1:$E$49,,0)</f>
        <v>13.75</v>
      </c>
      <c r="M206" s="7">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IF(_xlfn.XLOOKUP(F207,customers!$B$1:$B$1001,customers!$C$1:$C$1001,,0)=0,"",_xlfn.XLOOKUP(F207,customers!$B$1:$B$1001,customers!$C$1:$C$1001,,0))</f>
        <v/>
      </c>
      <c r="H207" s="2" t="str">
        <f>_xlfn.XLOOKUP(C207,customers!$A$1:$A$1001,customers!$G$1:$G$1001,,0)</f>
        <v>United States</v>
      </c>
      <c r="I207" t="str">
        <f>_xlfn.XLOOKUP(D207,products!$A$1:$A$49,products!$B$1:$B$49,,0)</f>
        <v>Rob</v>
      </c>
      <c r="J207" t="str">
        <f>_xlfn.XLOOKUP(D207,products!$A$1:$A$49,products!$C$1:$C$49,,0)</f>
        <v>D</v>
      </c>
      <c r="K207" s="5">
        <f>_xlfn.XLOOKUP(D207,products!$A$1:$A$49,products!$D$1:$D$49,,0)</f>
        <v>0.2</v>
      </c>
      <c r="L207" s="7">
        <f>_xlfn.XLOOKUP(D207,products!$A$1:$A$49,products!$E$1:$E$49,,0)</f>
        <v>2.6849999999999996</v>
      </c>
      <c r="M207" s="7">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IF(_xlfn.XLOOKUP(F208,customers!$B$1:$B$1001,customers!$C$1:$C$1001,,0)=0,"",_xlfn.XLOOKUP(F208,customers!$B$1:$B$1001,customers!$C$1:$C$1001,,0))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5">
        <f>_xlfn.XLOOKUP(D208,products!$A$1:$A$49,products!$D$1:$D$49,,0)</f>
        <v>1</v>
      </c>
      <c r="L208" s="7">
        <f>_xlfn.XLOOKUP(D208,products!$A$1:$A$49,products!$E$1:$E$49,,0)</f>
        <v>11.25</v>
      </c>
      <c r="M208" s="7">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IF(_xlfn.XLOOKUP(F209,customers!$B$1:$B$1001,customers!$C$1:$C$1001,,0)=0,"",_xlfn.XLOOKUP(F209,customers!$B$1:$B$1001,customers!$C$1:$C$1001,,0))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5">
        <f>_xlfn.XLOOKUP(D209,products!$A$1:$A$49,products!$D$1:$D$49,,0)</f>
        <v>0.5</v>
      </c>
      <c r="L209" s="7">
        <f>_xlfn.XLOOKUP(D209,products!$A$1:$A$49,products!$E$1:$E$49,,0)</f>
        <v>6.75</v>
      </c>
      <c r="M209" s="7">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IF(_xlfn.XLOOKUP(F210,customers!$B$1:$B$1001,customers!$C$1:$C$1001,,0)=0,"",_xlfn.XLOOKUP(F210,customers!$B$1:$B$1001,customers!$C$1:$C$1001,,0))</f>
        <v>chalfhide5s@google.ru</v>
      </c>
      <c r="H210" s="2" t="str">
        <f>_xlfn.XLOOKUP(C210,customers!$A$1:$A$1001,customers!$G$1:$G$1001,,0)</f>
        <v>Ireland</v>
      </c>
      <c r="I210" t="str">
        <f>_xlfn.XLOOKUP(D210,products!$A$1:$A$49,products!$B$1:$B$49,,0)</f>
        <v>Exc</v>
      </c>
      <c r="J210" t="str">
        <f>_xlfn.XLOOKUP(D210,products!$A$1:$A$49,products!$C$1:$C$49,,0)</f>
        <v>D</v>
      </c>
      <c r="K210" s="5">
        <f>_xlfn.XLOOKUP(D210,products!$A$1:$A$49,products!$D$1:$D$49,,0)</f>
        <v>0.5</v>
      </c>
      <c r="L210" s="7">
        <f>_xlfn.XLOOKUP(D210,products!$A$1:$A$49,products!$E$1:$E$49,,0)</f>
        <v>7.29</v>
      </c>
      <c r="M210" s="7">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IF(_xlfn.XLOOKUP(F211,customers!$B$1:$B$1001,customers!$C$1:$C$1001,,0)=0,"",_xlfn.XLOOKUP(F211,customers!$B$1:$B$1001,customers!$C$1:$C$1001,,0))</f>
        <v>fmalecky5t@list-manage.com</v>
      </c>
      <c r="H211" s="2" t="str">
        <f>_xlfn.XLOOKUP(C211,customers!$A$1:$A$1001,customers!$G$1:$G$1001,,0)</f>
        <v>United Kingdom</v>
      </c>
      <c r="I211" t="str">
        <f>_xlfn.XLOOKUP(D211,products!$A$1:$A$49,products!$B$1:$B$49,,0)</f>
        <v>Ara</v>
      </c>
      <c r="J211" t="str">
        <f>_xlfn.XLOOKUP(D211,products!$A$1:$A$49,products!$C$1:$C$49,,0)</f>
        <v>M</v>
      </c>
      <c r="K211" s="5">
        <f>_xlfn.XLOOKUP(D211,products!$A$1:$A$49,products!$D$1:$D$49,,0)</f>
        <v>0.5</v>
      </c>
      <c r="L211" s="7">
        <f>_xlfn.XLOOKUP(D211,products!$A$1:$A$49,products!$E$1:$E$49,,0)</f>
        <v>6.75</v>
      </c>
      <c r="M211" s="7">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IF(_xlfn.XLOOKUP(F212,customers!$B$1:$B$1001,customers!$C$1:$C$1001,,0)=0,"",_xlfn.XLOOKUP(F212,customers!$B$1:$B$1001,customers!$C$1:$C$1001,,0))</f>
        <v>aattwater5u@wikia.com</v>
      </c>
      <c r="H212" s="2" t="str">
        <f>_xlfn.XLOOKUP(C212,customers!$A$1:$A$1001,customers!$G$1:$G$1001,,0)</f>
        <v>United States</v>
      </c>
      <c r="I212" t="str">
        <f>_xlfn.XLOOKUP(D212,products!$A$1:$A$49,products!$B$1:$B$49,,0)</f>
        <v>Lib</v>
      </c>
      <c r="J212" t="str">
        <f>_xlfn.XLOOKUP(D212,products!$A$1:$A$49,products!$C$1:$C$49,,0)</f>
        <v>D</v>
      </c>
      <c r="K212" s="5">
        <f>_xlfn.XLOOKUP(D212,products!$A$1:$A$49,products!$D$1:$D$49,,0)</f>
        <v>1</v>
      </c>
      <c r="L212" s="7">
        <f>_xlfn.XLOOKUP(D212,products!$A$1:$A$49,products!$E$1:$E$49,,0)</f>
        <v>12.95</v>
      </c>
      <c r="M212" s="7">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IF(_xlfn.XLOOKUP(F213,customers!$B$1:$B$1001,customers!$C$1:$C$1001,,0)=0,"",_xlfn.XLOOKUP(F213,customers!$B$1:$B$1001,customers!$C$1:$C$1001,,0))</f>
        <v>mwhellans5v@mapquest.com</v>
      </c>
      <c r="H213" s="2" t="str">
        <f>_xlfn.XLOOKUP(C213,customers!$A$1:$A$1001,customers!$G$1:$G$1001,,0)</f>
        <v>United States</v>
      </c>
      <c r="I213" t="str">
        <f>_xlfn.XLOOKUP(D213,products!$A$1:$A$49,products!$B$1:$B$49,,0)</f>
        <v>Exc</v>
      </c>
      <c r="J213" t="str">
        <f>_xlfn.XLOOKUP(D213,products!$A$1:$A$49,products!$C$1:$C$49,,0)</f>
        <v>L</v>
      </c>
      <c r="K213" s="5">
        <f>_xlfn.XLOOKUP(D213,products!$A$1:$A$49,products!$D$1:$D$49,,0)</f>
        <v>0.5</v>
      </c>
      <c r="L213" s="7">
        <f>_xlfn.XLOOKUP(D213,products!$A$1:$A$49,products!$E$1:$E$49,,0)</f>
        <v>8.91</v>
      </c>
      <c r="M213" s="7">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IF(_xlfn.XLOOKUP(F214,customers!$B$1:$B$1001,customers!$C$1:$C$1001,,0)=0,"",_xlfn.XLOOKUP(F214,customers!$B$1:$B$1001,customers!$C$1:$C$1001,,0))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5">
        <f>_xlfn.XLOOKUP(D214,products!$A$1:$A$49,products!$D$1:$D$49,,0)</f>
        <v>0.2</v>
      </c>
      <c r="L214" s="7">
        <f>_xlfn.XLOOKUP(D214,products!$A$1:$A$49,products!$E$1:$E$49,,0)</f>
        <v>3.645</v>
      </c>
      <c r="M214" s="7">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IF(_xlfn.XLOOKUP(F215,customers!$B$1:$B$1001,customers!$C$1:$C$1001,,0)=0,"",_xlfn.XLOOKUP(F215,customers!$B$1:$B$1001,customers!$C$1:$C$1001,,0))</f>
        <v>egalgey5x@wufoo.com</v>
      </c>
      <c r="H215" s="2" t="str">
        <f>_xlfn.XLOOKUP(C215,customers!$A$1:$A$1001,customers!$G$1:$G$1001,,0)</f>
        <v>United States</v>
      </c>
      <c r="I215" t="str">
        <f>_xlfn.XLOOKUP(D215,products!$A$1:$A$49,products!$B$1:$B$49,,0)</f>
        <v>Rob</v>
      </c>
      <c r="J215" t="str">
        <f>_xlfn.XLOOKUP(D215,products!$A$1:$A$49,products!$C$1:$C$49,,0)</f>
        <v>D</v>
      </c>
      <c r="K215" s="5">
        <f>_xlfn.XLOOKUP(D215,products!$A$1:$A$49,products!$D$1:$D$49,,0)</f>
        <v>2.5</v>
      </c>
      <c r="L215" s="7">
        <f>_xlfn.XLOOKUP(D215,products!$A$1:$A$49,products!$E$1:$E$49,,0)</f>
        <v>20.584999999999997</v>
      </c>
      <c r="M215" s="7">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IF(_xlfn.XLOOKUP(F216,customers!$B$1:$B$1001,customers!$C$1:$C$1001,,0)=0,"",_xlfn.XLOOKUP(F216,customers!$B$1:$B$1001,customers!$C$1:$C$1001,,0))</f>
        <v>mhame5y@newsvine.com</v>
      </c>
      <c r="H216" s="2" t="str">
        <f>_xlfn.XLOOKUP(C216,customers!$A$1:$A$1001,customers!$G$1:$G$1001,,0)</f>
        <v>Ireland</v>
      </c>
      <c r="I216" t="str">
        <f>_xlfn.XLOOKUP(D216,products!$A$1:$A$49,products!$B$1:$B$49,,0)</f>
        <v>Lib</v>
      </c>
      <c r="J216" t="str">
        <f>_xlfn.XLOOKUP(D216,products!$A$1:$A$49,products!$C$1:$C$49,,0)</f>
        <v>L</v>
      </c>
      <c r="K216" s="5">
        <f>_xlfn.XLOOKUP(D216,products!$A$1:$A$49,products!$D$1:$D$49,,0)</f>
        <v>1</v>
      </c>
      <c r="L216" s="7">
        <f>_xlfn.XLOOKUP(D216,products!$A$1:$A$49,products!$E$1:$E$49,,0)</f>
        <v>15.85</v>
      </c>
      <c r="M216" s="7">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IF(_xlfn.XLOOKUP(F217,customers!$B$1:$B$1001,customers!$C$1:$C$1001,,0)=0,"",_xlfn.XLOOKUP(F217,customers!$B$1:$B$1001,customers!$C$1:$C$1001,,0))</f>
        <v>igurnee5z@usnews.com</v>
      </c>
      <c r="H217" s="2" t="str">
        <f>_xlfn.XLOOKUP(C217,customers!$A$1:$A$1001,customers!$G$1:$G$1001,,0)</f>
        <v>United States</v>
      </c>
      <c r="I217" t="str">
        <f>_xlfn.XLOOKUP(D217,products!$A$1:$A$49,products!$B$1:$B$49,,0)</f>
        <v>Lib</v>
      </c>
      <c r="J217" t="str">
        <f>_xlfn.XLOOKUP(D217,products!$A$1:$A$49,products!$C$1:$C$49,,0)</f>
        <v>D</v>
      </c>
      <c r="K217" s="5">
        <f>_xlfn.XLOOKUP(D217,products!$A$1:$A$49,products!$D$1:$D$49,,0)</f>
        <v>0.2</v>
      </c>
      <c r="L217" s="7">
        <f>_xlfn.XLOOKUP(D217,products!$A$1:$A$49,products!$E$1:$E$49,,0)</f>
        <v>3.8849999999999998</v>
      </c>
      <c r="M217" s="7">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IF(_xlfn.XLOOKUP(F218,customers!$B$1:$B$1001,customers!$C$1:$C$1001,,0)=0,"",_xlfn.XLOOKUP(F218,customers!$B$1:$B$1001,customers!$C$1:$C$1001,,0))</f>
        <v>asnowding60@comsenz.com</v>
      </c>
      <c r="H218" s="2" t="str">
        <f>_xlfn.XLOOKUP(C218,customers!$A$1:$A$1001,customers!$G$1:$G$1001,,0)</f>
        <v>United States</v>
      </c>
      <c r="I218" t="str">
        <f>_xlfn.XLOOKUP(D218,products!$A$1:$A$49,products!$B$1:$B$49,,0)</f>
        <v>Lib</v>
      </c>
      <c r="J218" t="str">
        <f>_xlfn.XLOOKUP(D218,products!$A$1:$A$49,products!$C$1:$C$49,,0)</f>
        <v>M</v>
      </c>
      <c r="K218" s="5">
        <f>_xlfn.XLOOKUP(D218,products!$A$1:$A$49,products!$D$1:$D$49,,0)</f>
        <v>1</v>
      </c>
      <c r="L218" s="7">
        <f>_xlfn.XLOOKUP(D218,products!$A$1:$A$49,products!$E$1:$E$49,,0)</f>
        <v>14.55</v>
      </c>
      <c r="M218" s="7">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IF(_xlfn.XLOOKUP(F219,customers!$B$1:$B$1001,customers!$C$1:$C$1001,,0)=0,"",_xlfn.XLOOKUP(F219,customers!$B$1:$B$1001,customers!$C$1:$C$1001,,0))</f>
        <v>gpoinsett61@berkeley.edu</v>
      </c>
      <c r="H219" s="2" t="str">
        <f>_xlfn.XLOOKUP(C219,customers!$A$1:$A$1001,customers!$G$1:$G$1001,,0)</f>
        <v>United States</v>
      </c>
      <c r="I219" t="str">
        <f>_xlfn.XLOOKUP(D219,products!$A$1:$A$49,products!$B$1:$B$49,,0)</f>
        <v>Exc</v>
      </c>
      <c r="J219" t="str">
        <f>_xlfn.XLOOKUP(D219,products!$A$1:$A$49,products!$C$1:$C$49,,0)</f>
        <v>L</v>
      </c>
      <c r="K219" s="5">
        <f>_xlfn.XLOOKUP(D219,products!$A$1:$A$49,products!$D$1:$D$49,,0)</f>
        <v>0.5</v>
      </c>
      <c r="L219" s="7">
        <f>_xlfn.XLOOKUP(D219,products!$A$1:$A$49,products!$E$1:$E$49,,0)</f>
        <v>8.91</v>
      </c>
      <c r="M219" s="7">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IF(_xlfn.XLOOKUP(F220,customers!$B$1:$B$1001,customers!$C$1:$C$1001,,0)=0,"",_xlfn.XLOOKUP(F220,customers!$B$1:$B$1001,customers!$C$1:$C$1001,,0))</f>
        <v>rfurman62@t.co</v>
      </c>
      <c r="H220" s="2" t="str">
        <f>_xlfn.XLOOKUP(C220,customers!$A$1:$A$1001,customers!$G$1:$G$1001,,0)</f>
        <v>Ireland</v>
      </c>
      <c r="I220" t="str">
        <f>_xlfn.XLOOKUP(D220,products!$A$1:$A$49,products!$B$1:$B$49,,0)</f>
        <v>Ara</v>
      </c>
      <c r="J220" t="str">
        <f>_xlfn.XLOOKUP(D220,products!$A$1:$A$49,products!$C$1:$C$49,,0)</f>
        <v>M</v>
      </c>
      <c r="K220" s="5">
        <f>_xlfn.XLOOKUP(D220,products!$A$1:$A$49,products!$D$1:$D$49,,0)</f>
        <v>1</v>
      </c>
      <c r="L220" s="7">
        <f>_xlfn.XLOOKUP(D220,products!$A$1:$A$49,products!$E$1:$E$49,,0)</f>
        <v>11.25</v>
      </c>
      <c r="M220" s="7">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IF(_xlfn.XLOOKUP(F221,customers!$B$1:$B$1001,customers!$C$1:$C$1001,,0)=0,"",_xlfn.XLOOKUP(F221,customers!$B$1:$B$1001,customers!$C$1:$C$1001,,0))</f>
        <v>ccrosier63@xrea.com</v>
      </c>
      <c r="H221" s="2" t="str">
        <f>_xlfn.XLOOKUP(C221,customers!$A$1:$A$1001,customers!$G$1:$G$1001,,0)</f>
        <v>United States</v>
      </c>
      <c r="I221" t="str">
        <f>_xlfn.XLOOKUP(D221,products!$A$1:$A$49,products!$B$1:$B$49,,0)</f>
        <v>Rob</v>
      </c>
      <c r="J221" t="str">
        <f>_xlfn.XLOOKUP(D221,products!$A$1:$A$49,products!$C$1:$C$49,,0)</f>
        <v>L</v>
      </c>
      <c r="K221" s="5">
        <f>_xlfn.XLOOKUP(D221,products!$A$1:$A$49,products!$D$1:$D$49,,0)</f>
        <v>0.2</v>
      </c>
      <c r="L221" s="7">
        <f>_xlfn.XLOOKUP(D221,products!$A$1:$A$49,products!$E$1:$E$49,,0)</f>
        <v>3.5849999999999995</v>
      </c>
      <c r="M221" s="7">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IF(_xlfn.XLOOKUP(F222,customers!$B$1:$B$1001,customers!$C$1:$C$1001,,0)=0,"",_xlfn.XLOOKUP(F222,customers!$B$1:$B$1001,customers!$C$1:$C$1001,,0))</f>
        <v>ccrosier63@xrea.com</v>
      </c>
      <c r="H222" s="2" t="str">
        <f>_xlfn.XLOOKUP(C222,customers!$A$1:$A$1001,customers!$G$1:$G$1001,,0)</f>
        <v>United States</v>
      </c>
      <c r="I222" t="str">
        <f>_xlfn.XLOOKUP(D222,products!$A$1:$A$49,products!$B$1:$B$49,,0)</f>
        <v>Rob</v>
      </c>
      <c r="J222" t="str">
        <f>_xlfn.XLOOKUP(D222,products!$A$1:$A$49,products!$C$1:$C$49,,0)</f>
        <v>M</v>
      </c>
      <c r="K222" s="5">
        <f>_xlfn.XLOOKUP(D222,products!$A$1:$A$49,products!$D$1:$D$49,,0)</f>
        <v>0.2</v>
      </c>
      <c r="L222" s="7">
        <f>_xlfn.XLOOKUP(D222,products!$A$1:$A$49,products!$E$1:$E$49,,0)</f>
        <v>2.9849999999999999</v>
      </c>
      <c r="M222" s="7">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IF(_xlfn.XLOOKUP(F223,customers!$B$1:$B$1001,customers!$C$1:$C$1001,,0)=0,"",_xlfn.XLOOKUP(F223,customers!$B$1:$B$1001,customers!$C$1:$C$1001,,0))</f>
        <v>lrushmer65@europa.eu</v>
      </c>
      <c r="H223" s="2" t="str">
        <f>_xlfn.XLOOKUP(C223,customers!$A$1:$A$1001,customers!$G$1:$G$1001,,0)</f>
        <v>United States</v>
      </c>
      <c r="I223" t="str">
        <f>_xlfn.XLOOKUP(D223,products!$A$1:$A$49,products!$B$1:$B$49,,0)</f>
        <v>Ara</v>
      </c>
      <c r="J223" t="str">
        <f>_xlfn.XLOOKUP(D223,products!$A$1:$A$49,products!$C$1:$C$49,,0)</f>
        <v>L</v>
      </c>
      <c r="K223" s="5">
        <f>_xlfn.XLOOKUP(D223,products!$A$1:$A$49,products!$D$1:$D$49,,0)</f>
        <v>1</v>
      </c>
      <c r="L223" s="7">
        <f>_xlfn.XLOOKUP(D223,products!$A$1:$A$49,products!$E$1:$E$49,,0)</f>
        <v>12.95</v>
      </c>
      <c r="M223" s="7">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IF(_xlfn.XLOOKUP(F224,customers!$B$1:$B$1001,customers!$C$1:$C$1001,,0)=0,"",_xlfn.XLOOKUP(F224,customers!$B$1:$B$1001,customers!$C$1:$C$1001,,0))</f>
        <v>wedinborough66@github.io</v>
      </c>
      <c r="H224" s="2" t="str">
        <f>_xlfn.XLOOKUP(C224,customers!$A$1:$A$1001,customers!$G$1:$G$1001,,0)</f>
        <v>United States</v>
      </c>
      <c r="I224" t="str">
        <f>_xlfn.XLOOKUP(D224,products!$A$1:$A$49,products!$B$1:$B$49,,0)</f>
        <v>Lib</v>
      </c>
      <c r="J224" t="str">
        <f>_xlfn.XLOOKUP(D224,products!$A$1:$A$49,products!$C$1:$C$49,,0)</f>
        <v>D</v>
      </c>
      <c r="K224" s="5">
        <f>_xlfn.XLOOKUP(D224,products!$A$1:$A$49,products!$D$1:$D$49,,0)</f>
        <v>0.5</v>
      </c>
      <c r="L224" s="7">
        <f>_xlfn.XLOOKUP(D224,products!$A$1:$A$49,products!$E$1:$E$49,,0)</f>
        <v>7.77</v>
      </c>
      <c r="M224" s="7">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IF(_xlfn.XLOOKUP(F225,customers!$B$1:$B$1001,customers!$C$1:$C$1001,,0)=0,"",_xlfn.XLOOKUP(F225,customers!$B$1:$B$1001,customers!$C$1:$C$1001,,0))</f>
        <v/>
      </c>
      <c r="H225" s="2" t="str">
        <f>_xlfn.XLOOKUP(C225,customers!$A$1:$A$1001,customers!$G$1:$G$1001,,0)</f>
        <v>United States</v>
      </c>
      <c r="I225" t="str">
        <f>_xlfn.XLOOKUP(D225,products!$A$1:$A$49,products!$B$1:$B$49,,0)</f>
        <v>Exc</v>
      </c>
      <c r="J225" t="str">
        <f>_xlfn.XLOOKUP(D225,products!$A$1:$A$49,products!$C$1:$C$49,,0)</f>
        <v>L</v>
      </c>
      <c r="K225" s="5">
        <f>_xlfn.XLOOKUP(D225,products!$A$1:$A$49,products!$D$1:$D$49,,0)</f>
        <v>1</v>
      </c>
      <c r="L225" s="7">
        <f>_xlfn.XLOOKUP(D225,products!$A$1:$A$49,products!$E$1:$E$49,,0)</f>
        <v>14.85</v>
      </c>
      <c r="M225" s="7">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IF(_xlfn.XLOOKUP(F226,customers!$B$1:$B$1001,customers!$C$1:$C$1001,,0)=0,"",_xlfn.XLOOKUP(F226,customers!$B$1:$B$1001,customers!$C$1:$C$1001,,0))</f>
        <v>kbromehead68@un.org</v>
      </c>
      <c r="H226" s="2" t="str">
        <f>_xlfn.XLOOKUP(C226,customers!$A$1:$A$1001,customers!$G$1:$G$1001,,0)</f>
        <v>United States</v>
      </c>
      <c r="I226" t="str">
        <f>_xlfn.XLOOKUP(D226,products!$A$1:$A$49,products!$B$1:$B$49,,0)</f>
        <v>Lib</v>
      </c>
      <c r="J226" t="str">
        <f>_xlfn.XLOOKUP(D226,products!$A$1:$A$49,products!$C$1:$C$49,,0)</f>
        <v>D</v>
      </c>
      <c r="K226" s="5">
        <f>_xlfn.XLOOKUP(D226,products!$A$1:$A$49,products!$D$1:$D$49,,0)</f>
        <v>2.5</v>
      </c>
      <c r="L226" s="7">
        <f>_xlfn.XLOOKUP(D226,products!$A$1:$A$49,products!$E$1:$E$49,,0)</f>
        <v>29.784999999999997</v>
      </c>
      <c r="M226" s="7">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IF(_xlfn.XLOOKUP(F227,customers!$B$1:$B$1001,customers!$C$1:$C$1001,,0)=0,"",_xlfn.XLOOKUP(F227,customers!$B$1:$B$1001,customers!$C$1:$C$1001,,0))</f>
        <v>ewesterman69@si.edu</v>
      </c>
      <c r="H227" s="2" t="str">
        <f>_xlfn.XLOOKUP(C227,customers!$A$1:$A$1001,customers!$G$1:$G$1001,,0)</f>
        <v>Ireland</v>
      </c>
      <c r="I227" t="str">
        <f>_xlfn.XLOOKUP(D227,products!$A$1:$A$49,products!$B$1:$B$49,,0)</f>
        <v>Rob</v>
      </c>
      <c r="J227" t="str">
        <f>_xlfn.XLOOKUP(D227,products!$A$1:$A$49,products!$C$1:$C$49,,0)</f>
        <v>L</v>
      </c>
      <c r="K227" s="5">
        <f>_xlfn.XLOOKUP(D227,products!$A$1:$A$49,products!$D$1:$D$49,,0)</f>
        <v>0.2</v>
      </c>
      <c r="L227" s="7">
        <f>_xlfn.XLOOKUP(D227,products!$A$1:$A$49,products!$E$1:$E$49,,0)</f>
        <v>3.5849999999999995</v>
      </c>
      <c r="M227" s="7">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IF(_xlfn.XLOOKUP(F228,customers!$B$1:$B$1001,customers!$C$1:$C$1001,,0)=0,"",_xlfn.XLOOKUP(F228,customers!$B$1:$B$1001,customers!$C$1:$C$1001,,0))</f>
        <v>ahutchens6a@amazonaws.com</v>
      </c>
      <c r="H228" s="2" t="str">
        <f>_xlfn.XLOOKUP(C228,customers!$A$1:$A$1001,customers!$G$1:$G$1001,,0)</f>
        <v>United States</v>
      </c>
      <c r="I228" t="str">
        <f>_xlfn.XLOOKUP(D228,products!$A$1:$A$49,products!$B$1:$B$49,,0)</f>
        <v>Ara</v>
      </c>
      <c r="J228" t="str">
        <f>_xlfn.XLOOKUP(D228,products!$A$1:$A$49,products!$C$1:$C$49,,0)</f>
        <v>M</v>
      </c>
      <c r="K228" s="5">
        <f>_xlfn.XLOOKUP(D228,products!$A$1:$A$49,products!$D$1:$D$49,,0)</f>
        <v>2.5</v>
      </c>
      <c r="L228" s="7">
        <f>_xlfn.XLOOKUP(D228,products!$A$1:$A$49,products!$E$1:$E$49,,0)</f>
        <v>25.874999999999996</v>
      </c>
      <c r="M228" s="7">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IF(_xlfn.XLOOKUP(F229,customers!$B$1:$B$1001,customers!$C$1:$C$1001,,0)=0,"",_xlfn.XLOOKUP(F229,customers!$B$1:$B$1001,customers!$C$1:$C$1001,,0))</f>
        <v>nwyvill6b@naver.com</v>
      </c>
      <c r="H229" s="2" t="str">
        <f>_xlfn.XLOOKUP(C229,customers!$A$1:$A$1001,customers!$G$1:$G$1001,,0)</f>
        <v>United Kingdom</v>
      </c>
      <c r="I229" t="str">
        <f>_xlfn.XLOOKUP(D229,products!$A$1:$A$49,products!$B$1:$B$49,,0)</f>
        <v>Rob</v>
      </c>
      <c r="J229" t="str">
        <f>_xlfn.XLOOKUP(D229,products!$A$1:$A$49,products!$C$1:$C$49,,0)</f>
        <v>D</v>
      </c>
      <c r="K229" s="5">
        <f>_xlfn.XLOOKUP(D229,products!$A$1:$A$49,products!$D$1:$D$49,,0)</f>
        <v>0.2</v>
      </c>
      <c r="L229" s="7">
        <f>_xlfn.XLOOKUP(D229,products!$A$1:$A$49,products!$E$1:$E$49,,0)</f>
        <v>2.6849999999999996</v>
      </c>
      <c r="M229" s="7">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IF(_xlfn.XLOOKUP(F230,customers!$B$1:$B$1001,customers!$C$1:$C$1001,,0)=0,"",_xlfn.XLOOKUP(F230,customers!$B$1:$B$1001,customers!$C$1:$C$1001,,0))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5">
        <f>_xlfn.XLOOKUP(D230,products!$A$1:$A$49,products!$D$1:$D$49,,0)</f>
        <v>0.2</v>
      </c>
      <c r="L230" s="7">
        <f>_xlfn.XLOOKUP(D230,products!$A$1:$A$49,products!$E$1:$E$49,,0)</f>
        <v>3.5849999999999995</v>
      </c>
      <c r="M230" s="7">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IF(_xlfn.XLOOKUP(F231,customers!$B$1:$B$1001,customers!$C$1:$C$1001,,0)=0,"",_xlfn.XLOOKUP(F231,customers!$B$1:$B$1001,customers!$C$1:$C$1001,,0))</f>
        <v>kstreight6d@about.com</v>
      </c>
      <c r="H231" s="2" t="str">
        <f>_xlfn.XLOOKUP(C231,customers!$A$1:$A$1001,customers!$G$1:$G$1001,,0)</f>
        <v>United States</v>
      </c>
      <c r="I231" t="str">
        <f>_xlfn.XLOOKUP(D231,products!$A$1:$A$49,products!$B$1:$B$49,,0)</f>
        <v>Lib</v>
      </c>
      <c r="J231" t="str">
        <f>_xlfn.XLOOKUP(D231,products!$A$1:$A$49,products!$C$1:$C$49,,0)</f>
        <v>M</v>
      </c>
      <c r="K231" s="5">
        <f>_xlfn.XLOOKUP(D231,products!$A$1:$A$49,products!$D$1:$D$49,,0)</f>
        <v>0.2</v>
      </c>
      <c r="L231" s="7">
        <f>_xlfn.XLOOKUP(D231,products!$A$1:$A$49,products!$E$1:$E$49,,0)</f>
        <v>4.3650000000000002</v>
      </c>
      <c r="M231" s="7">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IF(_xlfn.XLOOKUP(F232,customers!$B$1:$B$1001,customers!$C$1:$C$1001,,0)=0,"",_xlfn.XLOOKUP(F232,customers!$B$1:$B$1001,customers!$C$1:$C$1001,,0))</f>
        <v>pcutchie6e@globo.com</v>
      </c>
      <c r="H232" s="2" t="str">
        <f>_xlfn.XLOOKUP(C232,customers!$A$1:$A$1001,customers!$G$1:$G$1001,,0)</f>
        <v>United States</v>
      </c>
      <c r="I232" t="str">
        <f>_xlfn.XLOOKUP(D232,products!$A$1:$A$49,products!$B$1:$B$49,,0)</f>
        <v>Ara</v>
      </c>
      <c r="J232" t="str">
        <f>_xlfn.XLOOKUP(D232,products!$A$1:$A$49,products!$C$1:$C$49,,0)</f>
        <v>M</v>
      </c>
      <c r="K232" s="5">
        <f>_xlfn.XLOOKUP(D232,products!$A$1:$A$49,products!$D$1:$D$49,,0)</f>
        <v>2.5</v>
      </c>
      <c r="L232" s="7">
        <f>_xlfn.XLOOKUP(D232,products!$A$1:$A$49,products!$E$1:$E$49,,0)</f>
        <v>25.874999999999996</v>
      </c>
      <c r="M232" s="7">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IF(_xlfn.XLOOKUP(F233,customers!$B$1:$B$1001,customers!$C$1:$C$1001,,0)=0,"",_xlfn.XLOOKUP(F233,customers!$B$1:$B$1001,customers!$C$1:$C$1001,,0))</f>
        <v/>
      </c>
      <c r="H233" s="2" t="str">
        <f>_xlfn.XLOOKUP(C233,customers!$A$1:$A$1001,customers!$G$1:$G$1001,,0)</f>
        <v>United States</v>
      </c>
      <c r="I233" t="str">
        <f>_xlfn.XLOOKUP(D233,products!$A$1:$A$49,products!$B$1:$B$49,,0)</f>
        <v>Lib</v>
      </c>
      <c r="J233" t="str">
        <f>_xlfn.XLOOKUP(D233,products!$A$1:$A$49,products!$C$1:$C$49,,0)</f>
        <v>M</v>
      </c>
      <c r="K233" s="5">
        <f>_xlfn.XLOOKUP(D233,products!$A$1:$A$49,products!$D$1:$D$49,,0)</f>
        <v>0.2</v>
      </c>
      <c r="L233" s="7">
        <f>_xlfn.XLOOKUP(D233,products!$A$1:$A$49,products!$E$1:$E$49,,0)</f>
        <v>4.3650000000000002</v>
      </c>
      <c r="M233" s="7">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IF(_xlfn.XLOOKUP(F234,customers!$B$1:$B$1001,customers!$C$1:$C$1001,,0)=0,"",_xlfn.XLOOKUP(F234,customers!$B$1:$B$1001,customers!$C$1:$C$1001,,0))</f>
        <v>cgheraldi6g@opera.com</v>
      </c>
      <c r="H234" s="2" t="str">
        <f>_xlfn.XLOOKUP(C234,customers!$A$1:$A$1001,customers!$G$1:$G$1001,,0)</f>
        <v>United Kingdom</v>
      </c>
      <c r="I234" t="str">
        <f>_xlfn.XLOOKUP(D234,products!$A$1:$A$49,products!$B$1:$B$49,,0)</f>
        <v>Lib</v>
      </c>
      <c r="J234" t="str">
        <f>_xlfn.XLOOKUP(D234,products!$A$1:$A$49,products!$C$1:$C$49,,0)</f>
        <v>L</v>
      </c>
      <c r="K234" s="5">
        <f>_xlfn.XLOOKUP(D234,products!$A$1:$A$49,products!$D$1:$D$49,,0)</f>
        <v>0.2</v>
      </c>
      <c r="L234" s="7">
        <f>_xlfn.XLOOKUP(D234,products!$A$1:$A$49,products!$E$1:$E$49,,0)</f>
        <v>4.7549999999999999</v>
      </c>
      <c r="M234" s="7">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IF(_xlfn.XLOOKUP(F235,customers!$B$1:$B$1001,customers!$C$1:$C$1001,,0)=0,"",_xlfn.XLOOKUP(F235,customers!$B$1:$B$1001,customers!$C$1:$C$1001,,0))</f>
        <v>bkenwell6h@over-blog.com</v>
      </c>
      <c r="H235" s="2" t="str">
        <f>_xlfn.XLOOKUP(C235,customers!$A$1:$A$1001,customers!$G$1:$G$1001,,0)</f>
        <v>United States</v>
      </c>
      <c r="I235" t="str">
        <f>_xlfn.XLOOKUP(D235,products!$A$1:$A$49,products!$B$1:$B$49,,0)</f>
        <v>Exc</v>
      </c>
      <c r="J235" t="str">
        <f>_xlfn.XLOOKUP(D235,products!$A$1:$A$49,products!$C$1:$C$49,,0)</f>
        <v>M</v>
      </c>
      <c r="K235" s="5">
        <f>_xlfn.XLOOKUP(D235,products!$A$1:$A$49,products!$D$1:$D$49,,0)</f>
        <v>0.2</v>
      </c>
      <c r="L235" s="7">
        <f>_xlfn.XLOOKUP(D235,products!$A$1:$A$49,products!$E$1:$E$49,,0)</f>
        <v>4.125</v>
      </c>
      <c r="M235" s="7">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IF(_xlfn.XLOOKUP(F236,customers!$B$1:$B$1001,customers!$C$1:$C$1001,,0)=0,"",_xlfn.XLOOKUP(F236,customers!$B$1:$B$1001,customers!$C$1:$C$1001,,0))</f>
        <v>tsutty6i@google.es</v>
      </c>
      <c r="H236" s="2" t="str">
        <f>_xlfn.XLOOKUP(C236,customers!$A$1:$A$1001,customers!$G$1:$G$1001,,0)</f>
        <v>United States</v>
      </c>
      <c r="I236" t="str">
        <f>_xlfn.XLOOKUP(D236,products!$A$1:$A$49,products!$B$1:$B$49,,0)</f>
        <v>Lib</v>
      </c>
      <c r="J236" t="str">
        <f>_xlfn.XLOOKUP(D236,products!$A$1:$A$49,products!$C$1:$C$49,,0)</f>
        <v>L</v>
      </c>
      <c r="K236" s="5">
        <f>_xlfn.XLOOKUP(D236,products!$A$1:$A$49,products!$D$1:$D$49,,0)</f>
        <v>2.5</v>
      </c>
      <c r="L236" s="7">
        <f>_xlfn.XLOOKUP(D236,products!$A$1:$A$49,products!$E$1:$E$49,,0)</f>
        <v>36.454999999999998</v>
      </c>
      <c r="M236" s="7">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IF(_xlfn.XLOOKUP(F237,customers!$B$1:$B$1001,customers!$C$1:$C$1001,,0)=0,"",_xlfn.XLOOKUP(F237,customers!$B$1:$B$1001,customers!$C$1:$C$1001,,0))</f>
        <v/>
      </c>
      <c r="H237" s="2" t="str">
        <f>_xlfn.XLOOKUP(C237,customers!$A$1:$A$1001,customers!$G$1:$G$1001,,0)</f>
        <v>Ireland</v>
      </c>
      <c r="I237" t="str">
        <f>_xlfn.XLOOKUP(D237,products!$A$1:$A$49,products!$B$1:$B$49,,0)</f>
        <v>Lib</v>
      </c>
      <c r="J237" t="str">
        <f>_xlfn.XLOOKUP(D237,products!$A$1:$A$49,products!$C$1:$C$49,,0)</f>
        <v>L</v>
      </c>
      <c r="K237" s="5">
        <f>_xlfn.XLOOKUP(D237,products!$A$1:$A$49,products!$D$1:$D$49,,0)</f>
        <v>2.5</v>
      </c>
      <c r="L237" s="7">
        <f>_xlfn.XLOOKUP(D237,products!$A$1:$A$49,products!$E$1:$E$49,,0)</f>
        <v>36.454999999999998</v>
      </c>
      <c r="M237" s="7">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IF(_xlfn.XLOOKUP(F238,customers!$B$1:$B$1001,customers!$C$1:$C$1001,,0)=0,"",_xlfn.XLOOKUP(F238,customers!$B$1:$B$1001,customers!$C$1:$C$1001,,0))</f>
        <v>charce6k@cafepress.com</v>
      </c>
      <c r="H238" s="2" t="str">
        <f>_xlfn.XLOOKUP(C238,customers!$A$1:$A$1001,customers!$G$1:$G$1001,,0)</f>
        <v>Ireland</v>
      </c>
      <c r="I238" t="str">
        <f>_xlfn.XLOOKUP(D238,products!$A$1:$A$49,products!$B$1:$B$49,,0)</f>
        <v>Lib</v>
      </c>
      <c r="J238" t="str">
        <f>_xlfn.XLOOKUP(D238,products!$A$1:$A$49,products!$C$1:$C$49,,0)</f>
        <v>D</v>
      </c>
      <c r="K238" s="5">
        <f>_xlfn.XLOOKUP(D238,products!$A$1:$A$49,products!$D$1:$D$49,,0)</f>
        <v>2.5</v>
      </c>
      <c r="L238" s="7">
        <f>_xlfn.XLOOKUP(D238,products!$A$1:$A$49,products!$E$1:$E$49,,0)</f>
        <v>29.784999999999997</v>
      </c>
      <c r="M238" s="7">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IF(_xlfn.XLOOKUP(F239,customers!$B$1:$B$1001,customers!$C$1:$C$1001,,0)=0,"",_xlfn.XLOOKUP(F239,customers!$B$1:$B$1001,customers!$C$1:$C$1001,,0))</f>
        <v/>
      </c>
      <c r="H239" s="2" t="str">
        <f>_xlfn.XLOOKUP(C239,customers!$A$1:$A$1001,customers!$G$1:$G$1001,,0)</f>
        <v>United States</v>
      </c>
      <c r="I239" t="str">
        <f>_xlfn.XLOOKUP(D239,products!$A$1:$A$49,products!$B$1:$B$49,,0)</f>
        <v>Rob</v>
      </c>
      <c r="J239" t="str">
        <f>_xlfn.XLOOKUP(D239,products!$A$1:$A$49,products!$C$1:$C$49,,0)</f>
        <v>L</v>
      </c>
      <c r="K239" s="5">
        <f>_xlfn.XLOOKUP(D239,products!$A$1:$A$49,products!$D$1:$D$49,,0)</f>
        <v>0.2</v>
      </c>
      <c r="L239" s="7">
        <f>_xlfn.XLOOKUP(D239,products!$A$1:$A$49,products!$E$1:$E$49,,0)</f>
        <v>3.5849999999999995</v>
      </c>
      <c r="M239" s="7">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IF(_xlfn.XLOOKUP(F240,customers!$B$1:$B$1001,customers!$C$1:$C$1001,,0)=0,"",_xlfn.XLOOKUP(F240,customers!$B$1:$B$1001,customers!$C$1:$C$1001,,0))</f>
        <v>fdrysdale6m@symantec.com</v>
      </c>
      <c r="H240" s="2" t="str">
        <f>_xlfn.XLOOKUP(C240,customers!$A$1:$A$1001,customers!$G$1:$G$1001,,0)</f>
        <v>United States</v>
      </c>
      <c r="I240" t="str">
        <f>_xlfn.XLOOKUP(D240,products!$A$1:$A$49,products!$B$1:$B$49,,0)</f>
        <v>Rob</v>
      </c>
      <c r="J240" t="str">
        <f>_xlfn.XLOOKUP(D240,products!$A$1:$A$49,products!$C$1:$C$49,,0)</f>
        <v>M</v>
      </c>
      <c r="K240" s="5">
        <f>_xlfn.XLOOKUP(D240,products!$A$1:$A$49,products!$D$1:$D$49,,0)</f>
        <v>2.5</v>
      </c>
      <c r="L240" s="7">
        <f>_xlfn.XLOOKUP(D240,products!$A$1:$A$49,products!$E$1:$E$49,,0)</f>
        <v>22.884999999999998</v>
      </c>
      <c r="M240" s="7">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IF(_xlfn.XLOOKUP(F241,customers!$B$1:$B$1001,customers!$C$1:$C$1001,,0)=0,"",_xlfn.XLOOKUP(F241,customers!$B$1:$B$1001,customers!$C$1:$C$1001,,0))</f>
        <v>dmagowan6n@fc2.com</v>
      </c>
      <c r="H241" s="2" t="str">
        <f>_xlfn.XLOOKUP(C241,customers!$A$1:$A$1001,customers!$G$1:$G$1001,,0)</f>
        <v>United States</v>
      </c>
      <c r="I241" t="str">
        <f>_xlfn.XLOOKUP(D241,products!$A$1:$A$49,products!$B$1:$B$49,,0)</f>
        <v>Exc</v>
      </c>
      <c r="J241" t="str">
        <f>_xlfn.XLOOKUP(D241,products!$A$1:$A$49,products!$C$1:$C$49,,0)</f>
        <v>L</v>
      </c>
      <c r="K241" s="5">
        <f>_xlfn.XLOOKUP(D241,products!$A$1:$A$49,products!$D$1:$D$49,,0)</f>
        <v>1</v>
      </c>
      <c r="L241" s="7">
        <f>_xlfn.XLOOKUP(D241,products!$A$1:$A$49,products!$E$1:$E$49,,0)</f>
        <v>14.85</v>
      </c>
      <c r="M241" s="7">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IF(_xlfn.XLOOKUP(F242,customers!$B$1:$B$1001,customers!$C$1:$C$1001,,0)=0,"",_xlfn.XLOOKUP(F242,customers!$B$1:$B$1001,customers!$C$1:$C$1001,,0))</f>
        <v/>
      </c>
      <c r="H242" s="2" t="str">
        <f>_xlfn.XLOOKUP(C242,customers!$A$1:$A$1001,customers!$G$1:$G$1001,,0)</f>
        <v>United States</v>
      </c>
      <c r="I242" t="str">
        <f>_xlfn.XLOOKUP(D242,products!$A$1:$A$49,products!$B$1:$B$49,,0)</f>
        <v>Ara</v>
      </c>
      <c r="J242" t="str">
        <f>_xlfn.XLOOKUP(D242,products!$A$1:$A$49,products!$C$1:$C$49,,0)</f>
        <v>M</v>
      </c>
      <c r="K242" s="5">
        <f>_xlfn.XLOOKUP(D242,products!$A$1:$A$49,products!$D$1:$D$49,,0)</f>
        <v>2.5</v>
      </c>
      <c r="L242" s="7">
        <f>_xlfn.XLOOKUP(D242,products!$A$1:$A$49,products!$E$1:$E$49,,0)</f>
        <v>25.874999999999996</v>
      </c>
      <c r="M242" s="7">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IF(_xlfn.XLOOKUP(F243,customers!$B$1:$B$1001,customers!$C$1:$C$1001,,0)=0,"",_xlfn.XLOOKUP(F243,customers!$B$1:$B$1001,customers!$C$1:$C$1001,,0))</f>
        <v/>
      </c>
      <c r="H243" s="2" t="str">
        <f>_xlfn.XLOOKUP(C243,customers!$A$1:$A$1001,customers!$G$1:$G$1001,,0)</f>
        <v>United States</v>
      </c>
      <c r="I243" t="str">
        <f>_xlfn.XLOOKUP(D243,products!$A$1:$A$49,products!$B$1:$B$49,,0)</f>
        <v>Rob</v>
      </c>
      <c r="J243" t="str">
        <f>_xlfn.XLOOKUP(D243,products!$A$1:$A$49,products!$C$1:$C$49,,0)</f>
        <v>M</v>
      </c>
      <c r="K243" s="5">
        <f>_xlfn.XLOOKUP(D243,products!$A$1:$A$49,products!$D$1:$D$49,,0)</f>
        <v>2.5</v>
      </c>
      <c r="L243" s="7">
        <f>_xlfn.XLOOKUP(D243,products!$A$1:$A$49,products!$E$1:$E$49,,0)</f>
        <v>22.884999999999998</v>
      </c>
      <c r="M243" s="7">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IF(_xlfn.XLOOKUP(F244,customers!$B$1:$B$1001,customers!$C$1:$C$1001,,0)=0,"",_xlfn.XLOOKUP(F244,customers!$B$1:$B$1001,customers!$C$1:$C$1001,,0))</f>
        <v>srushbrooke6q@youku.com</v>
      </c>
      <c r="H244" s="2" t="str">
        <f>_xlfn.XLOOKUP(C244,customers!$A$1:$A$1001,customers!$G$1:$G$1001,,0)</f>
        <v>United States</v>
      </c>
      <c r="I244" t="str">
        <f>_xlfn.XLOOKUP(D244,products!$A$1:$A$49,products!$B$1:$B$49,,0)</f>
        <v>Exc</v>
      </c>
      <c r="J244" t="str">
        <f>_xlfn.XLOOKUP(D244,products!$A$1:$A$49,products!$C$1:$C$49,,0)</f>
        <v>D</v>
      </c>
      <c r="K244" s="5">
        <f>_xlfn.XLOOKUP(D244,products!$A$1:$A$49,products!$D$1:$D$49,,0)</f>
        <v>1</v>
      </c>
      <c r="L244" s="7">
        <f>_xlfn.XLOOKUP(D244,products!$A$1:$A$49,products!$E$1:$E$49,,0)</f>
        <v>12.15</v>
      </c>
      <c r="M244" s="7">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IF(_xlfn.XLOOKUP(F245,customers!$B$1:$B$1001,customers!$C$1:$C$1001,,0)=0,"",_xlfn.XLOOKUP(F245,customers!$B$1:$B$1001,customers!$C$1:$C$1001,,0))</f>
        <v>tdrynan6r@deviantart.com</v>
      </c>
      <c r="H245" s="2" t="str">
        <f>_xlfn.XLOOKUP(C245,customers!$A$1:$A$1001,customers!$G$1:$G$1001,,0)</f>
        <v>United States</v>
      </c>
      <c r="I245" t="str">
        <f>_xlfn.XLOOKUP(D245,products!$A$1:$A$49,products!$B$1:$B$49,,0)</f>
        <v>Exc</v>
      </c>
      <c r="J245" t="str">
        <f>_xlfn.XLOOKUP(D245,products!$A$1:$A$49,products!$C$1:$C$49,,0)</f>
        <v>D</v>
      </c>
      <c r="K245" s="5">
        <f>_xlfn.XLOOKUP(D245,products!$A$1:$A$49,products!$D$1:$D$49,,0)</f>
        <v>0.5</v>
      </c>
      <c r="L245" s="7">
        <f>_xlfn.XLOOKUP(D245,products!$A$1:$A$49,products!$E$1:$E$49,,0)</f>
        <v>7.29</v>
      </c>
      <c r="M245" s="7">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IF(_xlfn.XLOOKUP(F246,customers!$B$1:$B$1001,customers!$C$1:$C$1001,,0)=0,"",_xlfn.XLOOKUP(F246,customers!$B$1:$B$1001,customers!$C$1:$C$1001,,0))</f>
        <v>eyurkov6s@hud.gov</v>
      </c>
      <c r="H246" s="2" t="str">
        <f>_xlfn.XLOOKUP(C246,customers!$A$1:$A$1001,customers!$G$1:$G$1001,,0)</f>
        <v>United States</v>
      </c>
      <c r="I246" t="str">
        <f>_xlfn.XLOOKUP(D246,products!$A$1:$A$49,products!$B$1:$B$49,,0)</f>
        <v>Lib</v>
      </c>
      <c r="J246" t="str">
        <f>_xlfn.XLOOKUP(D246,products!$A$1:$A$49,products!$C$1:$C$49,,0)</f>
        <v>M</v>
      </c>
      <c r="K246" s="5">
        <f>_xlfn.XLOOKUP(D246,products!$A$1:$A$49,products!$D$1:$D$49,,0)</f>
        <v>2.5</v>
      </c>
      <c r="L246" s="7">
        <f>_xlfn.XLOOKUP(D246,products!$A$1:$A$49,products!$E$1:$E$49,,0)</f>
        <v>33.464999999999996</v>
      </c>
      <c r="M246" s="7">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IF(_xlfn.XLOOKUP(F247,customers!$B$1:$B$1001,customers!$C$1:$C$1001,,0)=0,"",_xlfn.XLOOKUP(F247,customers!$B$1:$B$1001,customers!$C$1:$C$1001,,0))</f>
        <v>lmallan6t@state.gov</v>
      </c>
      <c r="H247" s="2" t="str">
        <f>_xlfn.XLOOKUP(C247,customers!$A$1:$A$1001,customers!$G$1:$G$1001,,0)</f>
        <v>United States</v>
      </c>
      <c r="I247" t="str">
        <f>_xlfn.XLOOKUP(D247,products!$A$1:$A$49,products!$B$1:$B$49,,0)</f>
        <v>Lib</v>
      </c>
      <c r="J247" t="str">
        <f>_xlfn.XLOOKUP(D247,products!$A$1:$A$49,products!$C$1:$C$49,,0)</f>
        <v>L</v>
      </c>
      <c r="K247" s="5">
        <f>_xlfn.XLOOKUP(D247,products!$A$1:$A$49,products!$D$1:$D$49,,0)</f>
        <v>0.2</v>
      </c>
      <c r="L247" s="7">
        <f>_xlfn.XLOOKUP(D247,products!$A$1:$A$49,products!$E$1:$E$49,,0)</f>
        <v>4.7549999999999999</v>
      </c>
      <c r="M247" s="7">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IF(_xlfn.XLOOKUP(F248,customers!$B$1:$B$1001,customers!$C$1:$C$1001,,0)=0,"",_xlfn.XLOOKUP(F248,customers!$B$1:$B$1001,customers!$C$1:$C$1001,,0))</f>
        <v>gbentjens6u@netlog.com</v>
      </c>
      <c r="H248" s="2" t="str">
        <f>_xlfn.XLOOKUP(C248,customers!$A$1:$A$1001,customers!$G$1:$G$1001,,0)</f>
        <v>United Kingdom</v>
      </c>
      <c r="I248" t="str">
        <f>_xlfn.XLOOKUP(D248,products!$A$1:$A$49,products!$B$1:$B$49,,0)</f>
        <v>Lib</v>
      </c>
      <c r="J248" t="str">
        <f>_xlfn.XLOOKUP(D248,products!$A$1:$A$49,products!$C$1:$C$49,,0)</f>
        <v>D</v>
      </c>
      <c r="K248" s="5">
        <f>_xlfn.XLOOKUP(D248,products!$A$1:$A$49,products!$D$1:$D$49,,0)</f>
        <v>1</v>
      </c>
      <c r="L248" s="7">
        <f>_xlfn.XLOOKUP(D248,products!$A$1:$A$49,products!$E$1:$E$49,,0)</f>
        <v>12.95</v>
      </c>
      <c r="M248" s="7">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IF(_xlfn.XLOOKUP(F249,customers!$B$1:$B$1001,customers!$C$1:$C$1001,,0)=0,"",_xlfn.XLOOKUP(F249,customers!$B$1:$B$1001,customers!$C$1:$C$1001,,0))</f>
        <v/>
      </c>
      <c r="H249" s="2" t="str">
        <f>_xlfn.XLOOKUP(C249,customers!$A$1:$A$1001,customers!$G$1:$G$1001,,0)</f>
        <v>Ireland</v>
      </c>
      <c r="I249" t="str">
        <f>_xlfn.XLOOKUP(D249,products!$A$1:$A$49,products!$B$1:$B$49,,0)</f>
        <v>Rob</v>
      </c>
      <c r="J249" t="str">
        <f>_xlfn.XLOOKUP(D249,products!$A$1:$A$49,products!$C$1:$C$49,,0)</f>
        <v>L</v>
      </c>
      <c r="K249" s="5">
        <f>_xlfn.XLOOKUP(D249,products!$A$1:$A$49,products!$D$1:$D$49,,0)</f>
        <v>0.2</v>
      </c>
      <c r="L249" s="7">
        <f>_xlfn.XLOOKUP(D249,products!$A$1:$A$49,products!$E$1:$E$49,,0)</f>
        <v>3.5849999999999995</v>
      </c>
      <c r="M249" s="7">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IF(_xlfn.XLOOKUP(F250,customers!$B$1:$B$1001,customers!$C$1:$C$1001,,0)=0,"",_xlfn.XLOOKUP(F250,customers!$B$1:$B$1001,customers!$C$1:$C$1001,,0))</f>
        <v>lentwistle6w@omniture.com</v>
      </c>
      <c r="H250" s="2" t="str">
        <f>_xlfn.XLOOKUP(C250,customers!$A$1:$A$1001,customers!$G$1:$G$1001,,0)</f>
        <v>United States</v>
      </c>
      <c r="I250" t="str">
        <f>_xlfn.XLOOKUP(D250,products!$A$1:$A$49,products!$B$1:$B$49,,0)</f>
        <v>Ara</v>
      </c>
      <c r="J250" t="str">
        <f>_xlfn.XLOOKUP(D250,products!$A$1:$A$49,products!$C$1:$C$49,,0)</f>
        <v>D</v>
      </c>
      <c r="K250" s="5">
        <f>_xlfn.XLOOKUP(D250,products!$A$1:$A$49,products!$D$1:$D$49,,0)</f>
        <v>1</v>
      </c>
      <c r="L250" s="7">
        <f>_xlfn.XLOOKUP(D250,products!$A$1:$A$49,products!$E$1:$E$49,,0)</f>
        <v>9.9499999999999993</v>
      </c>
      <c r="M250" s="7">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IF(_xlfn.XLOOKUP(F251,customers!$B$1:$B$1001,customers!$C$1:$C$1001,,0)=0,"",_xlfn.XLOOKUP(F251,customers!$B$1:$B$1001,customers!$C$1:$C$1001,,0))</f>
        <v>zkiffe74@cyberchimps.com</v>
      </c>
      <c r="H251" s="2" t="str">
        <f>_xlfn.XLOOKUP(C251,customers!$A$1:$A$1001,customers!$G$1:$G$1001,,0)</f>
        <v>United States</v>
      </c>
      <c r="I251" t="str">
        <f>_xlfn.XLOOKUP(D251,products!$A$1:$A$49,products!$B$1:$B$49,,0)</f>
        <v>Lib</v>
      </c>
      <c r="J251" t="str">
        <f>_xlfn.XLOOKUP(D251,products!$A$1:$A$49,products!$C$1:$C$49,,0)</f>
        <v>L</v>
      </c>
      <c r="K251" s="5">
        <f>_xlfn.XLOOKUP(D251,products!$A$1:$A$49,products!$D$1:$D$49,,0)</f>
        <v>1</v>
      </c>
      <c r="L251" s="7">
        <f>_xlfn.XLOOKUP(D251,products!$A$1:$A$49,products!$E$1:$E$49,,0)</f>
        <v>15.85</v>
      </c>
      <c r="M251" s="7">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IF(_xlfn.XLOOKUP(F252,customers!$B$1:$B$1001,customers!$C$1:$C$1001,,0)=0,"",_xlfn.XLOOKUP(F252,customers!$B$1:$B$1001,customers!$C$1:$C$1001,,0))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5">
        <f>_xlfn.XLOOKUP(D252,products!$A$1:$A$49,products!$D$1:$D$49,,0)</f>
        <v>0.2</v>
      </c>
      <c r="L252" s="7">
        <f>_xlfn.XLOOKUP(D252,products!$A$1:$A$49,products!$E$1:$E$49,,0)</f>
        <v>2.9849999999999999</v>
      </c>
      <c r="M252" s="7">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IF(_xlfn.XLOOKUP(F253,customers!$B$1:$B$1001,customers!$C$1:$C$1001,,0)=0,"",_xlfn.XLOOKUP(F253,customers!$B$1:$B$1001,customers!$C$1:$C$1001,,0))</f>
        <v>cheaviside6z@rediff.com</v>
      </c>
      <c r="H253" s="2" t="str">
        <f>_xlfn.XLOOKUP(C253,customers!$A$1:$A$1001,customers!$G$1:$G$1001,,0)</f>
        <v>United States</v>
      </c>
      <c r="I253" t="str">
        <f>_xlfn.XLOOKUP(D253,products!$A$1:$A$49,products!$B$1:$B$49,,0)</f>
        <v>Exc</v>
      </c>
      <c r="J253" t="str">
        <f>_xlfn.XLOOKUP(D253,products!$A$1:$A$49,products!$C$1:$C$49,,0)</f>
        <v>M</v>
      </c>
      <c r="K253" s="5">
        <f>_xlfn.XLOOKUP(D253,products!$A$1:$A$49,products!$D$1:$D$49,,0)</f>
        <v>1</v>
      </c>
      <c r="L253" s="7">
        <f>_xlfn.XLOOKUP(D253,products!$A$1:$A$49,products!$E$1:$E$49,,0)</f>
        <v>13.75</v>
      </c>
      <c r="M253" s="7">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IF(_xlfn.XLOOKUP(F254,customers!$B$1:$B$1001,customers!$C$1:$C$1001,,0)=0,"",_xlfn.XLOOKUP(F254,customers!$B$1:$B$1001,customers!$C$1:$C$1001,,0))</f>
        <v/>
      </c>
      <c r="H254" s="2" t="str">
        <f>_xlfn.XLOOKUP(C254,customers!$A$1:$A$1001,customers!$G$1:$G$1001,,0)</f>
        <v>United States</v>
      </c>
      <c r="I254" t="str">
        <f>_xlfn.XLOOKUP(D254,products!$A$1:$A$49,products!$B$1:$B$49,,0)</f>
        <v>Ara</v>
      </c>
      <c r="J254" t="str">
        <f>_xlfn.XLOOKUP(D254,products!$A$1:$A$49,products!$C$1:$C$49,,0)</f>
        <v>D</v>
      </c>
      <c r="K254" s="5">
        <f>_xlfn.XLOOKUP(D254,products!$A$1:$A$49,products!$D$1:$D$49,,0)</f>
        <v>1</v>
      </c>
      <c r="L254" s="7">
        <f>_xlfn.XLOOKUP(D254,products!$A$1:$A$49,products!$E$1:$E$49,,0)</f>
        <v>9.9499999999999993</v>
      </c>
      <c r="M254" s="7">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IF(_xlfn.XLOOKUP(F255,customers!$B$1:$B$1001,customers!$C$1:$C$1001,,0)=0,"",_xlfn.XLOOKUP(F255,customers!$B$1:$B$1001,customers!$C$1:$C$1001,,0))</f>
        <v>lkernan71@wsj.com</v>
      </c>
      <c r="H255" s="2" t="str">
        <f>_xlfn.XLOOKUP(C255,customers!$A$1:$A$1001,customers!$G$1:$G$1001,,0)</f>
        <v>United States</v>
      </c>
      <c r="I255" t="str">
        <f>_xlfn.XLOOKUP(D255,products!$A$1:$A$49,products!$B$1:$B$49,,0)</f>
        <v>Lib</v>
      </c>
      <c r="J255" t="str">
        <f>_xlfn.XLOOKUP(D255,products!$A$1:$A$49,products!$C$1:$C$49,,0)</f>
        <v>M</v>
      </c>
      <c r="K255" s="5">
        <f>_xlfn.XLOOKUP(D255,products!$A$1:$A$49,products!$D$1:$D$49,,0)</f>
        <v>1</v>
      </c>
      <c r="L255" s="7">
        <f>_xlfn.XLOOKUP(D255,products!$A$1:$A$49,products!$E$1:$E$49,,0)</f>
        <v>14.55</v>
      </c>
      <c r="M255" s="7">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IF(_xlfn.XLOOKUP(F256,customers!$B$1:$B$1001,customers!$C$1:$C$1001,,0)=0,"",_xlfn.XLOOKUP(F256,customers!$B$1:$B$1001,customers!$C$1:$C$1001,,0))</f>
        <v>rmclae72@dailymotion.com</v>
      </c>
      <c r="H256" s="2" t="str">
        <f>_xlfn.XLOOKUP(C256,customers!$A$1:$A$1001,customers!$G$1:$G$1001,,0)</f>
        <v>United Kingdom</v>
      </c>
      <c r="I256" t="str">
        <f>_xlfn.XLOOKUP(D256,products!$A$1:$A$49,products!$B$1:$B$49,,0)</f>
        <v>Rob</v>
      </c>
      <c r="J256" t="str">
        <f>_xlfn.XLOOKUP(D256,products!$A$1:$A$49,products!$C$1:$C$49,,0)</f>
        <v>L</v>
      </c>
      <c r="K256" s="5">
        <f>_xlfn.XLOOKUP(D256,products!$A$1:$A$49,products!$D$1:$D$49,,0)</f>
        <v>0.5</v>
      </c>
      <c r="L256" s="7">
        <f>_xlfn.XLOOKUP(D256,products!$A$1:$A$49,products!$E$1:$E$49,,0)</f>
        <v>7.169999999999999</v>
      </c>
      <c r="M256" s="7">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IF(_xlfn.XLOOKUP(F257,customers!$B$1:$B$1001,customers!$C$1:$C$1001,,0)=0,"",_xlfn.XLOOKUP(F257,customers!$B$1:$B$1001,customers!$C$1:$C$1001,,0))</f>
        <v>cblowfelde73@ustream.tv</v>
      </c>
      <c r="H257" s="2" t="str">
        <f>_xlfn.XLOOKUP(C257,customers!$A$1:$A$1001,customers!$G$1:$G$1001,,0)</f>
        <v>United States</v>
      </c>
      <c r="I257" t="str">
        <f>_xlfn.XLOOKUP(D257,products!$A$1:$A$49,products!$B$1:$B$49,,0)</f>
        <v>Rob</v>
      </c>
      <c r="J257" t="str">
        <f>_xlfn.XLOOKUP(D257,products!$A$1:$A$49,products!$C$1:$C$49,,0)</f>
        <v>L</v>
      </c>
      <c r="K257" s="5">
        <f>_xlfn.XLOOKUP(D257,products!$A$1:$A$49,products!$D$1:$D$49,,0)</f>
        <v>0.5</v>
      </c>
      <c r="L257" s="7">
        <f>_xlfn.XLOOKUP(D257,products!$A$1:$A$49,products!$E$1:$E$49,,0)</f>
        <v>7.169999999999999</v>
      </c>
      <c r="M257" s="7">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IF(_xlfn.XLOOKUP(F258,customers!$B$1:$B$1001,customers!$C$1:$C$1001,,0)=0,"",_xlfn.XLOOKUP(F258,customers!$B$1:$B$1001,customers!$C$1:$C$1001,,0))</f>
        <v>zkiffe74@cyberchimps.com</v>
      </c>
      <c r="H258" s="2" t="str">
        <f>_xlfn.XLOOKUP(C258,customers!$A$1:$A$1001,customers!$G$1:$G$1001,,0)</f>
        <v>United States</v>
      </c>
      <c r="I258" t="str">
        <f>_xlfn.XLOOKUP(D258,products!$A$1:$A$49,products!$B$1:$B$49,,0)</f>
        <v>Lib</v>
      </c>
      <c r="J258" t="str">
        <f>_xlfn.XLOOKUP(D258,products!$A$1:$A$49,products!$C$1:$C$49,,0)</f>
        <v>M</v>
      </c>
      <c r="K258" s="5">
        <f>_xlfn.XLOOKUP(D258,products!$A$1:$A$49,products!$D$1:$D$49,,0)</f>
        <v>0.5</v>
      </c>
      <c r="L258" s="7">
        <f>_xlfn.XLOOKUP(D258,products!$A$1:$A$49,products!$E$1:$E$49,,0)</f>
        <v>8.73</v>
      </c>
      <c r="M258" s="7">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IF(_xlfn.XLOOKUP(F259,customers!$B$1:$B$1001,customers!$C$1:$C$1001,,0)=0,"",_xlfn.XLOOKUP(F259,customers!$B$1:$B$1001,customers!$C$1:$C$1001,,0))</f>
        <v>docalleran75@ucla.edu</v>
      </c>
      <c r="H259" s="2" t="str">
        <f>_xlfn.XLOOKUP(C259,customers!$A$1:$A$1001,customers!$G$1:$G$1001,,0)</f>
        <v>United States</v>
      </c>
      <c r="I259" t="str">
        <f>_xlfn.XLOOKUP(D259,products!$A$1:$A$49,products!$B$1:$B$49,,0)</f>
        <v>Exc</v>
      </c>
      <c r="J259" t="str">
        <f>_xlfn.XLOOKUP(D259,products!$A$1:$A$49,products!$C$1:$C$49,,0)</f>
        <v>D</v>
      </c>
      <c r="K259" s="5">
        <f>_xlfn.XLOOKUP(D259,products!$A$1:$A$49,products!$D$1:$D$49,,0)</f>
        <v>2.5</v>
      </c>
      <c r="L259" s="7">
        <f>_xlfn.XLOOKUP(D259,products!$A$1:$A$49,products!$E$1:$E$49,,0)</f>
        <v>27.945</v>
      </c>
      <c r="M259" s="7">
        <f t="shared" ref="M259:M322" si="12">(L259*E259)</f>
        <v>27.945</v>
      </c>
      <c r="N259" t="str">
        <f t="shared" ref="N259:N322" si="13">IF(I259="Rob","Robusta", 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IF(_xlfn.XLOOKUP(F260,customers!$B$1:$B$1001,customers!$C$1:$C$1001,,0)=0,"",_xlfn.XLOOKUP(F260,customers!$B$1:$B$1001,customers!$C$1:$C$1001,,0))</f>
        <v>ccromwell76@desdev.cn</v>
      </c>
      <c r="H260" s="2" t="str">
        <f>_xlfn.XLOOKUP(C260,customers!$A$1:$A$1001,customers!$G$1:$G$1001,,0)</f>
        <v>United States</v>
      </c>
      <c r="I260" t="str">
        <f>_xlfn.XLOOKUP(D260,products!$A$1:$A$49,products!$B$1:$B$49,,0)</f>
        <v>Exc</v>
      </c>
      <c r="J260" t="str">
        <f>_xlfn.XLOOKUP(D260,products!$A$1:$A$49,products!$C$1:$C$49,,0)</f>
        <v>D</v>
      </c>
      <c r="K260" s="5">
        <f>_xlfn.XLOOKUP(D260,products!$A$1:$A$49,products!$D$1:$D$49,,0)</f>
        <v>2.5</v>
      </c>
      <c r="L260" s="7">
        <f>_xlfn.XLOOKUP(D260,products!$A$1:$A$49,products!$E$1:$E$49,,0)</f>
        <v>27.945</v>
      </c>
      <c r="M260" s="7">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IF(_xlfn.XLOOKUP(F261,customers!$B$1:$B$1001,customers!$C$1:$C$1001,,0)=0,"",_xlfn.XLOOKUP(F261,customers!$B$1:$B$1001,customers!$C$1:$C$1001,,0))</f>
        <v>ihay77@lulu.com</v>
      </c>
      <c r="H261" s="2" t="str">
        <f>_xlfn.XLOOKUP(C261,customers!$A$1:$A$1001,customers!$G$1:$G$1001,,0)</f>
        <v>United Kingdom</v>
      </c>
      <c r="I261" t="str">
        <f>_xlfn.XLOOKUP(D261,products!$A$1:$A$49,products!$B$1:$B$49,,0)</f>
        <v>Rob</v>
      </c>
      <c r="J261" t="str">
        <f>_xlfn.XLOOKUP(D261,products!$A$1:$A$49,products!$C$1:$C$49,,0)</f>
        <v>M</v>
      </c>
      <c r="K261" s="5">
        <f>_xlfn.XLOOKUP(D261,products!$A$1:$A$49,products!$D$1:$D$49,,0)</f>
        <v>0.2</v>
      </c>
      <c r="L261" s="7">
        <f>_xlfn.XLOOKUP(D261,products!$A$1:$A$49,products!$E$1:$E$49,,0)</f>
        <v>2.9849999999999999</v>
      </c>
      <c r="M261" s="7">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IF(_xlfn.XLOOKUP(F262,customers!$B$1:$B$1001,customers!$C$1:$C$1001,,0)=0,"",_xlfn.XLOOKUP(F262,customers!$B$1:$B$1001,customers!$C$1:$C$1001,,0))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5">
        <f>_xlfn.XLOOKUP(D262,products!$A$1:$A$49,products!$D$1:$D$49,,0)</f>
        <v>2.5</v>
      </c>
      <c r="L262" s="7">
        <f>_xlfn.XLOOKUP(D262,products!$A$1:$A$49,products!$E$1:$E$49,,0)</f>
        <v>27.484999999999996</v>
      </c>
      <c r="M262" s="7">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IF(_xlfn.XLOOKUP(F263,customers!$B$1:$B$1001,customers!$C$1:$C$1001,,0)=0,"",_xlfn.XLOOKUP(F263,customers!$B$1:$B$1001,customers!$C$1:$C$1001,,0))</f>
        <v>mcanty79@jigsy.com</v>
      </c>
      <c r="H263" s="2" t="str">
        <f>_xlfn.XLOOKUP(C263,customers!$A$1:$A$1001,customers!$G$1:$G$1001,,0)</f>
        <v>United States</v>
      </c>
      <c r="I263" t="str">
        <f>_xlfn.XLOOKUP(D263,products!$A$1:$A$49,products!$B$1:$B$49,,0)</f>
        <v>Rob</v>
      </c>
      <c r="J263" t="str">
        <f>_xlfn.XLOOKUP(D263,products!$A$1:$A$49,products!$C$1:$C$49,,0)</f>
        <v>L</v>
      </c>
      <c r="K263" s="5">
        <f>_xlfn.XLOOKUP(D263,products!$A$1:$A$49,products!$D$1:$D$49,,0)</f>
        <v>1</v>
      </c>
      <c r="L263" s="7">
        <f>_xlfn.XLOOKUP(D263,products!$A$1:$A$49,products!$E$1:$E$49,,0)</f>
        <v>11.95</v>
      </c>
      <c r="M263" s="7">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IF(_xlfn.XLOOKUP(F264,customers!$B$1:$B$1001,customers!$C$1:$C$1001,,0)=0,"",_xlfn.XLOOKUP(F264,customers!$B$1:$B$1001,customers!$C$1:$C$1001,,0))</f>
        <v>jkopke7a@auda.org.au</v>
      </c>
      <c r="H264" s="2" t="str">
        <f>_xlfn.XLOOKUP(C264,customers!$A$1:$A$1001,customers!$G$1:$G$1001,,0)</f>
        <v>United States</v>
      </c>
      <c r="I264" t="str">
        <f>_xlfn.XLOOKUP(D264,products!$A$1:$A$49,products!$B$1:$B$49,,0)</f>
        <v>Exc</v>
      </c>
      <c r="J264" t="str">
        <f>_xlfn.XLOOKUP(D264,products!$A$1:$A$49,products!$C$1:$C$49,,0)</f>
        <v>M</v>
      </c>
      <c r="K264" s="5">
        <f>_xlfn.XLOOKUP(D264,products!$A$1:$A$49,products!$D$1:$D$49,,0)</f>
        <v>1</v>
      </c>
      <c r="L264" s="7">
        <f>_xlfn.XLOOKUP(D264,products!$A$1:$A$49,products!$E$1:$E$49,,0)</f>
        <v>13.75</v>
      </c>
      <c r="M264" s="7">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IF(_xlfn.XLOOKUP(F265,customers!$B$1:$B$1001,customers!$C$1:$C$1001,,0)=0,"",_xlfn.XLOOKUP(F265,customers!$B$1:$B$1001,customers!$C$1:$C$1001,,0))</f>
        <v/>
      </c>
      <c r="H265" s="2" t="str">
        <f>_xlfn.XLOOKUP(C265,customers!$A$1:$A$1001,customers!$G$1:$G$1001,,0)</f>
        <v>United States</v>
      </c>
      <c r="I265" t="str">
        <f>_xlfn.XLOOKUP(D265,products!$A$1:$A$49,products!$B$1:$B$49,,0)</f>
        <v>Lib</v>
      </c>
      <c r="J265" t="str">
        <f>_xlfn.XLOOKUP(D265,products!$A$1:$A$49,products!$C$1:$C$49,,0)</f>
        <v>M</v>
      </c>
      <c r="K265" s="5">
        <f>_xlfn.XLOOKUP(D265,products!$A$1:$A$49,products!$D$1:$D$49,,0)</f>
        <v>2.5</v>
      </c>
      <c r="L265" s="7">
        <f>_xlfn.XLOOKUP(D265,products!$A$1:$A$49,products!$E$1:$E$49,,0)</f>
        <v>33.464999999999996</v>
      </c>
      <c r="M265" s="7">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IF(_xlfn.XLOOKUP(F266,customers!$B$1:$B$1001,customers!$C$1:$C$1001,,0)=0,"",_xlfn.XLOOKUP(F266,customers!$B$1:$B$1001,customers!$C$1:$C$1001,,0))</f>
        <v/>
      </c>
      <c r="H266" s="2" t="str">
        <f>_xlfn.XLOOKUP(C266,customers!$A$1:$A$1001,customers!$G$1:$G$1001,,0)</f>
        <v>Ireland</v>
      </c>
      <c r="I266" t="str">
        <f>_xlfn.XLOOKUP(D266,products!$A$1:$A$49,products!$B$1:$B$49,,0)</f>
        <v>Rob</v>
      </c>
      <c r="J266" t="str">
        <f>_xlfn.XLOOKUP(D266,products!$A$1:$A$49,products!$C$1:$C$49,,0)</f>
        <v>L</v>
      </c>
      <c r="K266" s="5">
        <f>_xlfn.XLOOKUP(D266,products!$A$1:$A$49,products!$D$1:$D$49,,0)</f>
        <v>1</v>
      </c>
      <c r="L266" s="7">
        <f>_xlfn.XLOOKUP(D266,products!$A$1:$A$49,products!$E$1:$E$49,,0)</f>
        <v>11.95</v>
      </c>
      <c r="M266" s="7">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IF(_xlfn.XLOOKUP(F267,customers!$B$1:$B$1001,customers!$C$1:$C$1001,,0)=0,"",_xlfn.XLOOKUP(F267,customers!$B$1:$B$1001,customers!$C$1:$C$1001,,0))</f>
        <v>vhellmore7d@bbc.co.uk</v>
      </c>
      <c r="H267" s="2" t="str">
        <f>_xlfn.XLOOKUP(C267,customers!$A$1:$A$1001,customers!$G$1:$G$1001,,0)</f>
        <v>United States</v>
      </c>
      <c r="I267" t="str">
        <f>_xlfn.XLOOKUP(D267,products!$A$1:$A$49,products!$B$1:$B$49,,0)</f>
        <v>Ara</v>
      </c>
      <c r="J267" t="str">
        <f>_xlfn.XLOOKUP(D267,products!$A$1:$A$49,products!$C$1:$C$49,,0)</f>
        <v>D</v>
      </c>
      <c r="K267" s="5">
        <f>_xlfn.XLOOKUP(D267,products!$A$1:$A$49,products!$D$1:$D$49,,0)</f>
        <v>0.5</v>
      </c>
      <c r="L267" s="7">
        <f>_xlfn.XLOOKUP(D267,products!$A$1:$A$49,products!$E$1:$E$49,,0)</f>
        <v>5.97</v>
      </c>
      <c r="M267" s="7">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IF(_xlfn.XLOOKUP(F268,customers!$B$1:$B$1001,customers!$C$1:$C$1001,,0)=0,"",_xlfn.XLOOKUP(F268,customers!$B$1:$B$1001,customers!$C$1:$C$1001,,0))</f>
        <v>mseawright7e@nbcnews.com</v>
      </c>
      <c r="H268" s="2" t="str">
        <f>_xlfn.XLOOKUP(C268,customers!$A$1:$A$1001,customers!$G$1:$G$1001,,0)</f>
        <v>United Kingdom</v>
      </c>
      <c r="I268" t="str">
        <f>_xlfn.XLOOKUP(D268,products!$A$1:$A$49,products!$B$1:$B$49,,0)</f>
        <v>Exc</v>
      </c>
      <c r="J268" t="str">
        <f>_xlfn.XLOOKUP(D268,products!$A$1:$A$49,products!$C$1:$C$49,,0)</f>
        <v>D</v>
      </c>
      <c r="K268" s="5">
        <f>_xlfn.XLOOKUP(D268,products!$A$1:$A$49,products!$D$1:$D$49,,0)</f>
        <v>1</v>
      </c>
      <c r="L268" s="7">
        <f>_xlfn.XLOOKUP(D268,products!$A$1:$A$49,products!$E$1:$E$49,,0)</f>
        <v>12.15</v>
      </c>
      <c r="M268" s="7">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IF(_xlfn.XLOOKUP(F269,customers!$B$1:$B$1001,customers!$C$1:$C$1001,,0)=0,"",_xlfn.XLOOKUP(F269,customers!$B$1:$B$1001,customers!$C$1:$C$1001,,0))</f>
        <v>snortheast7f@mashable.com</v>
      </c>
      <c r="H269" s="2" t="str">
        <f>_xlfn.XLOOKUP(C269,customers!$A$1:$A$1001,customers!$G$1:$G$1001,,0)</f>
        <v>United States</v>
      </c>
      <c r="I269" t="str">
        <f>_xlfn.XLOOKUP(D269,products!$A$1:$A$49,products!$B$1:$B$49,,0)</f>
        <v>Exc</v>
      </c>
      <c r="J269" t="str">
        <f>_xlfn.XLOOKUP(D269,products!$A$1:$A$49,products!$C$1:$C$49,,0)</f>
        <v>D</v>
      </c>
      <c r="K269" s="5">
        <f>_xlfn.XLOOKUP(D269,products!$A$1:$A$49,products!$D$1:$D$49,,0)</f>
        <v>0.2</v>
      </c>
      <c r="L269" s="7">
        <f>_xlfn.XLOOKUP(D269,products!$A$1:$A$49,products!$E$1:$E$49,,0)</f>
        <v>3.645</v>
      </c>
      <c r="M269" s="7">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IF(_xlfn.XLOOKUP(F270,customers!$B$1:$B$1001,customers!$C$1:$C$1001,,0)=0,"",_xlfn.XLOOKUP(F270,customers!$B$1:$B$1001,customers!$C$1:$C$1001,,0))</f>
        <v>aattwater5u@wikia.com</v>
      </c>
      <c r="H270" s="2" t="str">
        <f>_xlfn.XLOOKUP(C270,customers!$A$1:$A$1001,customers!$G$1:$G$1001,,0)</f>
        <v>United States</v>
      </c>
      <c r="I270" t="str">
        <f>_xlfn.XLOOKUP(D270,products!$A$1:$A$49,products!$B$1:$B$49,,0)</f>
        <v>Ara</v>
      </c>
      <c r="J270" t="str">
        <f>_xlfn.XLOOKUP(D270,products!$A$1:$A$49,products!$C$1:$C$49,,0)</f>
        <v>D</v>
      </c>
      <c r="K270" s="5">
        <f>_xlfn.XLOOKUP(D270,products!$A$1:$A$49,products!$D$1:$D$49,,0)</f>
        <v>1</v>
      </c>
      <c r="L270" s="7">
        <f>_xlfn.XLOOKUP(D270,products!$A$1:$A$49,products!$E$1:$E$49,,0)</f>
        <v>9.9499999999999993</v>
      </c>
      <c r="M270" s="7">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IF(_xlfn.XLOOKUP(F271,customers!$B$1:$B$1001,customers!$C$1:$C$1001,,0)=0,"",_xlfn.XLOOKUP(F271,customers!$B$1:$B$1001,customers!$C$1:$C$1001,,0))</f>
        <v>mfearon7h@reverbnation.com</v>
      </c>
      <c r="H271" s="2" t="str">
        <f>_xlfn.XLOOKUP(C271,customers!$A$1:$A$1001,customers!$G$1:$G$1001,,0)</f>
        <v>United States</v>
      </c>
      <c r="I271" t="str">
        <f>_xlfn.XLOOKUP(D271,products!$A$1:$A$49,products!$B$1:$B$49,,0)</f>
        <v>Ara</v>
      </c>
      <c r="J271" t="str">
        <f>_xlfn.XLOOKUP(D271,products!$A$1:$A$49,products!$C$1:$C$49,,0)</f>
        <v>D</v>
      </c>
      <c r="K271" s="5">
        <f>_xlfn.XLOOKUP(D271,products!$A$1:$A$49,products!$D$1:$D$49,,0)</f>
        <v>0.2</v>
      </c>
      <c r="L271" s="7">
        <f>_xlfn.XLOOKUP(D271,products!$A$1:$A$49,products!$E$1:$E$49,,0)</f>
        <v>2.9849999999999999</v>
      </c>
      <c r="M271" s="7">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IF(_xlfn.XLOOKUP(F272,customers!$B$1:$B$1001,customers!$C$1:$C$1001,,0)=0,"",_xlfn.XLOOKUP(F272,customers!$B$1:$B$1001,customers!$C$1:$C$1001,,0))</f>
        <v/>
      </c>
      <c r="H272" s="2" t="str">
        <f>_xlfn.XLOOKUP(C272,customers!$A$1:$A$1001,customers!$G$1:$G$1001,,0)</f>
        <v>Ireland</v>
      </c>
      <c r="I272" t="str">
        <f>_xlfn.XLOOKUP(D272,products!$A$1:$A$49,products!$B$1:$B$49,,0)</f>
        <v>Exc</v>
      </c>
      <c r="J272" t="str">
        <f>_xlfn.XLOOKUP(D272,products!$A$1:$A$49,products!$C$1:$C$49,,0)</f>
        <v>D</v>
      </c>
      <c r="K272" s="5">
        <f>_xlfn.XLOOKUP(D272,products!$A$1:$A$49,products!$D$1:$D$49,,0)</f>
        <v>0.5</v>
      </c>
      <c r="L272" s="7">
        <f>_xlfn.XLOOKUP(D272,products!$A$1:$A$49,products!$E$1:$E$49,,0)</f>
        <v>7.29</v>
      </c>
      <c r="M272" s="7">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IF(_xlfn.XLOOKUP(F273,customers!$B$1:$B$1001,customers!$C$1:$C$1001,,0)=0,"",_xlfn.XLOOKUP(F273,customers!$B$1:$B$1001,customers!$C$1:$C$1001,,0))</f>
        <v>jsisneros7j@a8.net</v>
      </c>
      <c r="H273" s="2" t="str">
        <f>_xlfn.XLOOKUP(C273,customers!$A$1:$A$1001,customers!$G$1:$G$1001,,0)</f>
        <v>United States</v>
      </c>
      <c r="I273" t="str">
        <f>_xlfn.XLOOKUP(D273,products!$A$1:$A$49,products!$B$1:$B$49,,0)</f>
        <v>Ara</v>
      </c>
      <c r="J273" t="str">
        <f>_xlfn.XLOOKUP(D273,products!$A$1:$A$49,products!$C$1:$C$49,,0)</f>
        <v>D</v>
      </c>
      <c r="K273" s="5">
        <f>_xlfn.XLOOKUP(D273,products!$A$1:$A$49,products!$D$1:$D$49,,0)</f>
        <v>0.2</v>
      </c>
      <c r="L273" s="7">
        <f>_xlfn.XLOOKUP(D273,products!$A$1:$A$49,products!$E$1:$E$49,,0)</f>
        <v>2.9849999999999999</v>
      </c>
      <c r="M273" s="7">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IF(_xlfn.XLOOKUP(F274,customers!$B$1:$B$1001,customers!$C$1:$C$1001,,0)=0,"",_xlfn.XLOOKUP(F274,customers!$B$1:$B$1001,customers!$C$1:$C$1001,,0))</f>
        <v>zcarlson7k@bigcartel.com</v>
      </c>
      <c r="H274" s="2" t="str">
        <f>_xlfn.XLOOKUP(C274,customers!$A$1:$A$1001,customers!$G$1:$G$1001,,0)</f>
        <v>Ireland</v>
      </c>
      <c r="I274" t="str">
        <f>_xlfn.XLOOKUP(D274,products!$A$1:$A$49,products!$B$1:$B$49,,0)</f>
        <v>Rob</v>
      </c>
      <c r="J274" t="str">
        <f>_xlfn.XLOOKUP(D274,products!$A$1:$A$49,products!$C$1:$C$49,,0)</f>
        <v>L</v>
      </c>
      <c r="K274" s="5">
        <f>_xlfn.XLOOKUP(D274,products!$A$1:$A$49,products!$D$1:$D$49,,0)</f>
        <v>1</v>
      </c>
      <c r="L274" s="7">
        <f>_xlfn.XLOOKUP(D274,products!$A$1:$A$49,products!$E$1:$E$49,,0)</f>
        <v>11.95</v>
      </c>
      <c r="M274" s="7">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IF(_xlfn.XLOOKUP(F275,customers!$B$1:$B$1001,customers!$C$1:$C$1001,,0)=0,"",_xlfn.XLOOKUP(F275,customers!$B$1:$B$1001,customers!$C$1:$C$1001,,0))</f>
        <v>wmaddox7l@timesonline.co.uk</v>
      </c>
      <c r="H275" s="2" t="str">
        <f>_xlfn.XLOOKUP(C275,customers!$A$1:$A$1001,customers!$G$1:$G$1001,,0)</f>
        <v>United States</v>
      </c>
      <c r="I275" t="str">
        <f>_xlfn.XLOOKUP(D275,products!$A$1:$A$49,products!$B$1:$B$49,,0)</f>
        <v>Ara</v>
      </c>
      <c r="J275" t="str">
        <f>_xlfn.XLOOKUP(D275,products!$A$1:$A$49,products!$C$1:$C$49,,0)</f>
        <v>L</v>
      </c>
      <c r="K275" s="5">
        <f>_xlfn.XLOOKUP(D275,products!$A$1:$A$49,products!$D$1:$D$49,,0)</f>
        <v>0.2</v>
      </c>
      <c r="L275" s="7">
        <f>_xlfn.XLOOKUP(D275,products!$A$1:$A$49,products!$E$1:$E$49,,0)</f>
        <v>3.8849999999999998</v>
      </c>
      <c r="M275" s="7">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IF(_xlfn.XLOOKUP(F276,customers!$B$1:$B$1001,customers!$C$1:$C$1001,,0)=0,"",_xlfn.XLOOKUP(F276,customers!$B$1:$B$1001,customers!$C$1:$C$1001,,0))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5">
        <f>_xlfn.XLOOKUP(D276,products!$A$1:$A$49,products!$D$1:$D$49,,0)</f>
        <v>2.5</v>
      </c>
      <c r="L276" s="7">
        <f>_xlfn.XLOOKUP(D276,products!$A$1:$A$49,products!$E$1:$E$49,,0)</f>
        <v>25.874999999999996</v>
      </c>
      <c r="M276" s="7">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IF(_xlfn.XLOOKUP(F277,customers!$B$1:$B$1001,customers!$C$1:$C$1001,,0)=0,"",_xlfn.XLOOKUP(F277,customers!$B$1:$B$1001,customers!$C$1:$C$1001,,0))</f>
        <v>tcrowthe7n@europa.eu</v>
      </c>
      <c r="H277" s="2" t="str">
        <f>_xlfn.XLOOKUP(C277,customers!$A$1:$A$1001,customers!$G$1:$G$1001,,0)</f>
        <v>United States</v>
      </c>
      <c r="I277" t="str">
        <f>_xlfn.XLOOKUP(D277,products!$A$1:$A$49,products!$B$1:$B$49,,0)</f>
        <v>Exc</v>
      </c>
      <c r="J277" t="str">
        <f>_xlfn.XLOOKUP(D277,products!$A$1:$A$49,products!$C$1:$C$49,,0)</f>
        <v>L</v>
      </c>
      <c r="K277" s="5">
        <f>_xlfn.XLOOKUP(D277,products!$A$1:$A$49,products!$D$1:$D$49,,0)</f>
        <v>2.5</v>
      </c>
      <c r="L277" s="7">
        <f>_xlfn.XLOOKUP(D277,products!$A$1:$A$49,products!$E$1:$E$49,,0)</f>
        <v>34.154999999999994</v>
      </c>
      <c r="M277" s="7">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IF(_xlfn.XLOOKUP(F278,customers!$B$1:$B$1001,customers!$C$1:$C$1001,,0)=0,"",_xlfn.XLOOKUP(F278,customers!$B$1:$B$1001,customers!$C$1:$C$1001,,0))</f>
        <v>dbury7o@tinyurl.com</v>
      </c>
      <c r="H278" s="2" t="str">
        <f>_xlfn.XLOOKUP(C278,customers!$A$1:$A$1001,customers!$G$1:$G$1001,,0)</f>
        <v>Ireland</v>
      </c>
      <c r="I278" t="str">
        <f>_xlfn.XLOOKUP(D278,products!$A$1:$A$49,products!$B$1:$B$49,,0)</f>
        <v>Rob</v>
      </c>
      <c r="J278" t="str">
        <f>_xlfn.XLOOKUP(D278,products!$A$1:$A$49,products!$C$1:$C$49,,0)</f>
        <v>L</v>
      </c>
      <c r="K278" s="5">
        <f>_xlfn.XLOOKUP(D278,products!$A$1:$A$49,products!$D$1:$D$49,,0)</f>
        <v>2.5</v>
      </c>
      <c r="L278" s="7">
        <f>_xlfn.XLOOKUP(D278,products!$A$1:$A$49,products!$E$1:$E$49,,0)</f>
        <v>27.484999999999996</v>
      </c>
      <c r="M278" s="7">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IF(_xlfn.XLOOKUP(F279,customers!$B$1:$B$1001,customers!$C$1:$C$1001,,0)=0,"",_xlfn.XLOOKUP(F279,customers!$B$1:$B$1001,customers!$C$1:$C$1001,,0))</f>
        <v>gbroadbear7p@omniture.com</v>
      </c>
      <c r="H279" s="2" t="str">
        <f>_xlfn.XLOOKUP(C279,customers!$A$1:$A$1001,customers!$G$1:$G$1001,,0)</f>
        <v>United States</v>
      </c>
      <c r="I279" t="str">
        <f>_xlfn.XLOOKUP(D279,products!$A$1:$A$49,products!$B$1:$B$49,,0)</f>
        <v>Exc</v>
      </c>
      <c r="J279" t="str">
        <f>_xlfn.XLOOKUP(D279,products!$A$1:$A$49,products!$C$1:$C$49,,0)</f>
        <v>L</v>
      </c>
      <c r="K279" s="5">
        <f>_xlfn.XLOOKUP(D279,products!$A$1:$A$49,products!$D$1:$D$49,,0)</f>
        <v>1</v>
      </c>
      <c r="L279" s="7">
        <f>_xlfn.XLOOKUP(D279,products!$A$1:$A$49,products!$E$1:$E$49,,0)</f>
        <v>14.85</v>
      </c>
      <c r="M279" s="7">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IF(_xlfn.XLOOKUP(F280,customers!$B$1:$B$1001,customers!$C$1:$C$1001,,0)=0,"",_xlfn.XLOOKUP(F280,customers!$B$1:$B$1001,customers!$C$1:$C$1001,,0))</f>
        <v>epalfrey7q@devhub.com</v>
      </c>
      <c r="H280" s="2" t="str">
        <f>_xlfn.XLOOKUP(C280,customers!$A$1:$A$1001,customers!$G$1:$G$1001,,0)</f>
        <v>United States</v>
      </c>
      <c r="I280" t="str">
        <f>_xlfn.XLOOKUP(D280,products!$A$1:$A$49,products!$B$1:$B$49,,0)</f>
        <v>Ara</v>
      </c>
      <c r="J280" t="str">
        <f>_xlfn.XLOOKUP(D280,products!$A$1:$A$49,products!$C$1:$C$49,,0)</f>
        <v>L</v>
      </c>
      <c r="K280" s="5">
        <f>_xlfn.XLOOKUP(D280,products!$A$1:$A$49,products!$D$1:$D$49,,0)</f>
        <v>0.2</v>
      </c>
      <c r="L280" s="7">
        <f>_xlfn.XLOOKUP(D280,products!$A$1:$A$49,products!$E$1:$E$49,,0)</f>
        <v>3.8849999999999998</v>
      </c>
      <c r="M280" s="7">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IF(_xlfn.XLOOKUP(F281,customers!$B$1:$B$1001,customers!$C$1:$C$1001,,0)=0,"",_xlfn.XLOOKUP(F281,customers!$B$1:$B$1001,customers!$C$1:$C$1001,,0))</f>
        <v>pmetrick7r@rakuten.co.jp</v>
      </c>
      <c r="H281" s="2" t="str">
        <f>_xlfn.XLOOKUP(C281,customers!$A$1:$A$1001,customers!$G$1:$G$1001,,0)</f>
        <v>United States</v>
      </c>
      <c r="I281" t="str">
        <f>_xlfn.XLOOKUP(D281,products!$A$1:$A$49,products!$B$1:$B$49,,0)</f>
        <v>Lib</v>
      </c>
      <c r="J281" t="str">
        <f>_xlfn.XLOOKUP(D281,products!$A$1:$A$49,products!$C$1:$C$49,,0)</f>
        <v>M</v>
      </c>
      <c r="K281" s="5">
        <f>_xlfn.XLOOKUP(D281,products!$A$1:$A$49,products!$D$1:$D$49,,0)</f>
        <v>2.5</v>
      </c>
      <c r="L281" s="7">
        <f>_xlfn.XLOOKUP(D281,products!$A$1:$A$49,products!$E$1:$E$49,,0)</f>
        <v>33.464999999999996</v>
      </c>
      <c r="M281" s="7">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IF(_xlfn.XLOOKUP(F282,customers!$B$1:$B$1001,customers!$C$1:$C$1001,,0)=0,"",_xlfn.XLOOKUP(F282,customers!$B$1:$B$1001,customers!$C$1:$C$1001,,0))</f>
        <v/>
      </c>
      <c r="H282" s="2" t="str">
        <f>_xlfn.XLOOKUP(C282,customers!$A$1:$A$1001,customers!$G$1:$G$1001,,0)</f>
        <v>United States</v>
      </c>
      <c r="I282" t="str">
        <f>_xlfn.XLOOKUP(D282,products!$A$1:$A$49,products!$B$1:$B$49,,0)</f>
        <v>Exc</v>
      </c>
      <c r="J282" t="str">
        <f>_xlfn.XLOOKUP(D282,products!$A$1:$A$49,products!$C$1:$C$49,,0)</f>
        <v>M</v>
      </c>
      <c r="K282" s="5">
        <f>_xlfn.XLOOKUP(D282,products!$A$1:$A$49,products!$D$1:$D$49,,0)</f>
        <v>0.5</v>
      </c>
      <c r="L282" s="7">
        <f>_xlfn.XLOOKUP(D282,products!$A$1:$A$49,products!$E$1:$E$49,,0)</f>
        <v>8.25</v>
      </c>
      <c r="M282" s="7">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IF(_xlfn.XLOOKUP(F283,customers!$B$1:$B$1001,customers!$C$1:$C$1001,,0)=0,"",_xlfn.XLOOKUP(F283,customers!$B$1:$B$1001,customers!$C$1:$C$1001,,0))</f>
        <v>kkarby7t@sbwire.com</v>
      </c>
      <c r="H283" s="2" t="str">
        <f>_xlfn.XLOOKUP(C283,customers!$A$1:$A$1001,customers!$G$1:$G$1001,,0)</f>
        <v>United States</v>
      </c>
      <c r="I283" t="str">
        <f>_xlfn.XLOOKUP(D283,products!$A$1:$A$49,products!$B$1:$B$49,,0)</f>
        <v>Exc</v>
      </c>
      <c r="J283" t="str">
        <f>_xlfn.XLOOKUP(D283,products!$A$1:$A$49,products!$C$1:$C$49,,0)</f>
        <v>L</v>
      </c>
      <c r="K283" s="5">
        <f>_xlfn.XLOOKUP(D283,products!$A$1:$A$49,products!$D$1:$D$49,,0)</f>
        <v>1</v>
      </c>
      <c r="L283" s="7">
        <f>_xlfn.XLOOKUP(D283,products!$A$1:$A$49,products!$E$1:$E$49,,0)</f>
        <v>14.85</v>
      </c>
      <c r="M283" s="7">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IF(_xlfn.XLOOKUP(F284,customers!$B$1:$B$1001,customers!$C$1:$C$1001,,0)=0,"",_xlfn.XLOOKUP(F284,customers!$B$1:$B$1001,customers!$C$1:$C$1001,,0))</f>
        <v>fcrumpe7u@ftc.gov</v>
      </c>
      <c r="H284" s="2" t="str">
        <f>_xlfn.XLOOKUP(C284,customers!$A$1:$A$1001,customers!$G$1:$G$1001,,0)</f>
        <v>United Kingdom</v>
      </c>
      <c r="I284" t="str">
        <f>_xlfn.XLOOKUP(D284,products!$A$1:$A$49,products!$B$1:$B$49,,0)</f>
        <v>Ara</v>
      </c>
      <c r="J284" t="str">
        <f>_xlfn.XLOOKUP(D284,products!$A$1:$A$49,products!$C$1:$C$49,,0)</f>
        <v>L</v>
      </c>
      <c r="K284" s="5">
        <f>_xlfn.XLOOKUP(D284,products!$A$1:$A$49,products!$D$1:$D$49,,0)</f>
        <v>0.5</v>
      </c>
      <c r="L284" s="7">
        <f>_xlfn.XLOOKUP(D284,products!$A$1:$A$49,products!$E$1:$E$49,,0)</f>
        <v>7.77</v>
      </c>
      <c r="M284" s="7">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IF(_xlfn.XLOOKUP(F285,customers!$B$1:$B$1001,customers!$C$1:$C$1001,,0)=0,"",_xlfn.XLOOKUP(F285,customers!$B$1:$B$1001,customers!$C$1:$C$1001,,0))</f>
        <v>achatto7v@sakura.ne.jp</v>
      </c>
      <c r="H285" s="2" t="str">
        <f>_xlfn.XLOOKUP(C285,customers!$A$1:$A$1001,customers!$G$1:$G$1001,,0)</f>
        <v>United Kingdom</v>
      </c>
      <c r="I285" t="str">
        <f>_xlfn.XLOOKUP(D285,products!$A$1:$A$49,products!$B$1:$B$49,,0)</f>
        <v>Rob</v>
      </c>
      <c r="J285" t="str">
        <f>_xlfn.XLOOKUP(D285,products!$A$1:$A$49,products!$C$1:$C$49,,0)</f>
        <v>D</v>
      </c>
      <c r="K285" s="5">
        <f>_xlfn.XLOOKUP(D285,products!$A$1:$A$49,products!$D$1:$D$49,,0)</f>
        <v>0.5</v>
      </c>
      <c r="L285" s="7">
        <f>_xlfn.XLOOKUP(D285,products!$A$1:$A$49,products!$E$1:$E$49,,0)</f>
        <v>5.3699999999999992</v>
      </c>
      <c r="M285" s="7">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IF(_xlfn.XLOOKUP(F286,customers!$B$1:$B$1001,customers!$C$1:$C$1001,,0)=0,"",_xlfn.XLOOKUP(F286,customers!$B$1:$B$1001,customers!$C$1:$C$1001,,0))</f>
        <v/>
      </c>
      <c r="H286" s="2" t="str">
        <f>_xlfn.XLOOKUP(C286,customers!$A$1:$A$1001,customers!$G$1:$G$1001,,0)</f>
        <v>United States</v>
      </c>
      <c r="I286" t="str">
        <f>_xlfn.XLOOKUP(D286,products!$A$1:$A$49,products!$B$1:$B$49,,0)</f>
        <v>Exc</v>
      </c>
      <c r="J286" t="str">
        <f>_xlfn.XLOOKUP(D286,products!$A$1:$A$49,products!$C$1:$C$49,,0)</f>
        <v>M</v>
      </c>
      <c r="K286" s="5">
        <f>_xlfn.XLOOKUP(D286,products!$A$1:$A$49,products!$D$1:$D$49,,0)</f>
        <v>2.5</v>
      </c>
      <c r="L286" s="7">
        <f>_xlfn.XLOOKUP(D286,products!$A$1:$A$49,products!$E$1:$E$49,,0)</f>
        <v>31.624999999999996</v>
      </c>
      <c r="M286" s="7">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IF(_xlfn.XLOOKUP(F287,customers!$B$1:$B$1001,customers!$C$1:$C$1001,,0)=0,"",_xlfn.XLOOKUP(F287,customers!$B$1:$B$1001,customers!$C$1:$C$1001,,0))</f>
        <v/>
      </c>
      <c r="H287" s="2" t="str">
        <f>_xlfn.XLOOKUP(C287,customers!$A$1:$A$1001,customers!$G$1:$G$1001,,0)</f>
        <v>United States</v>
      </c>
      <c r="I287" t="str">
        <f>_xlfn.XLOOKUP(D287,products!$A$1:$A$49,products!$B$1:$B$49,,0)</f>
        <v>Lib</v>
      </c>
      <c r="J287" t="str">
        <f>_xlfn.XLOOKUP(D287,products!$A$1:$A$49,products!$C$1:$C$49,,0)</f>
        <v>L</v>
      </c>
      <c r="K287" s="5">
        <f>_xlfn.XLOOKUP(D287,products!$A$1:$A$49,products!$D$1:$D$49,,0)</f>
        <v>2.5</v>
      </c>
      <c r="L287" s="7">
        <f>_xlfn.XLOOKUP(D287,products!$A$1:$A$49,products!$E$1:$E$49,,0)</f>
        <v>36.454999999999998</v>
      </c>
      <c r="M287" s="7">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IF(_xlfn.XLOOKUP(F288,customers!$B$1:$B$1001,customers!$C$1:$C$1001,,0)=0,"",_xlfn.XLOOKUP(F288,customers!$B$1:$B$1001,customers!$C$1:$C$1001,,0))</f>
        <v>bmergue7y@umn.edu</v>
      </c>
      <c r="H288" s="2" t="str">
        <f>_xlfn.XLOOKUP(C288,customers!$A$1:$A$1001,customers!$G$1:$G$1001,,0)</f>
        <v>United States</v>
      </c>
      <c r="I288" t="str">
        <f>_xlfn.XLOOKUP(D288,products!$A$1:$A$49,products!$B$1:$B$49,,0)</f>
        <v>Ara</v>
      </c>
      <c r="J288" t="str">
        <f>_xlfn.XLOOKUP(D288,products!$A$1:$A$49,products!$C$1:$C$49,,0)</f>
        <v>M</v>
      </c>
      <c r="K288" s="5">
        <f>_xlfn.XLOOKUP(D288,products!$A$1:$A$49,products!$D$1:$D$49,,0)</f>
        <v>0.2</v>
      </c>
      <c r="L288" s="7">
        <f>_xlfn.XLOOKUP(D288,products!$A$1:$A$49,products!$E$1:$E$49,,0)</f>
        <v>3.375</v>
      </c>
      <c r="M288" s="7">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IF(_xlfn.XLOOKUP(F289,customers!$B$1:$B$1001,customers!$C$1:$C$1001,,0)=0,"",_xlfn.XLOOKUP(F289,customers!$B$1:$B$1001,customers!$C$1:$C$1001,,0))</f>
        <v>kpatise7z@jigsy.com</v>
      </c>
      <c r="H289" s="2" t="str">
        <f>_xlfn.XLOOKUP(C289,customers!$A$1:$A$1001,customers!$G$1:$G$1001,,0)</f>
        <v>United States</v>
      </c>
      <c r="I289" t="str">
        <f>_xlfn.XLOOKUP(D289,products!$A$1:$A$49,products!$B$1:$B$49,,0)</f>
        <v>Rob</v>
      </c>
      <c r="J289" t="str">
        <f>_xlfn.XLOOKUP(D289,products!$A$1:$A$49,products!$C$1:$C$49,,0)</f>
        <v>L</v>
      </c>
      <c r="K289" s="5">
        <f>_xlfn.XLOOKUP(D289,products!$A$1:$A$49,products!$D$1:$D$49,,0)</f>
        <v>0.2</v>
      </c>
      <c r="L289" s="7">
        <f>_xlfn.XLOOKUP(D289,products!$A$1:$A$49,products!$E$1:$E$49,,0)</f>
        <v>3.5849999999999995</v>
      </c>
      <c r="M289" s="7">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IF(_xlfn.XLOOKUP(F290,customers!$B$1:$B$1001,customers!$C$1:$C$1001,,0)=0,"",_xlfn.XLOOKUP(F290,customers!$B$1:$B$1001,customers!$C$1:$C$1001,,0))</f>
        <v/>
      </c>
      <c r="H290" s="2" t="str">
        <f>_xlfn.XLOOKUP(C290,customers!$A$1:$A$1001,customers!$G$1:$G$1001,,0)</f>
        <v>Ireland</v>
      </c>
      <c r="I290" t="str">
        <f>_xlfn.XLOOKUP(D290,products!$A$1:$A$49,products!$B$1:$B$49,,0)</f>
        <v>Exc</v>
      </c>
      <c r="J290" t="str">
        <f>_xlfn.XLOOKUP(D290,products!$A$1:$A$49,products!$C$1:$C$49,,0)</f>
        <v>M</v>
      </c>
      <c r="K290" s="5">
        <f>_xlfn.XLOOKUP(D290,products!$A$1:$A$49,products!$D$1:$D$49,,0)</f>
        <v>0.5</v>
      </c>
      <c r="L290" s="7">
        <f>_xlfn.XLOOKUP(D290,products!$A$1:$A$49,products!$E$1:$E$49,,0)</f>
        <v>8.25</v>
      </c>
      <c r="M290" s="7">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IF(_xlfn.XLOOKUP(F291,customers!$B$1:$B$1001,customers!$C$1:$C$1001,,0)=0,"",_xlfn.XLOOKUP(F291,customers!$B$1:$B$1001,customers!$C$1:$C$1001,,0))</f>
        <v/>
      </c>
      <c r="H291" s="2" t="str">
        <f>_xlfn.XLOOKUP(C291,customers!$A$1:$A$1001,customers!$G$1:$G$1001,,0)</f>
        <v>United States</v>
      </c>
      <c r="I291" t="str">
        <f>_xlfn.XLOOKUP(D291,products!$A$1:$A$49,products!$B$1:$B$49,,0)</f>
        <v>Rob</v>
      </c>
      <c r="J291" t="str">
        <f>_xlfn.XLOOKUP(D291,products!$A$1:$A$49,products!$C$1:$C$49,,0)</f>
        <v>D</v>
      </c>
      <c r="K291" s="5">
        <f>_xlfn.XLOOKUP(D291,products!$A$1:$A$49,products!$D$1:$D$49,,0)</f>
        <v>0.2</v>
      </c>
      <c r="L291" s="7">
        <f>_xlfn.XLOOKUP(D291,products!$A$1:$A$49,products!$E$1:$E$49,,0)</f>
        <v>2.6849999999999996</v>
      </c>
      <c r="M291" s="7">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IF(_xlfn.XLOOKUP(F292,customers!$B$1:$B$1001,customers!$C$1:$C$1001,,0)=0,"",_xlfn.XLOOKUP(F292,customers!$B$1:$B$1001,customers!$C$1:$C$1001,,0))</f>
        <v>dduke82@vkontakte.ru</v>
      </c>
      <c r="H292" s="2" t="str">
        <f>_xlfn.XLOOKUP(C292,customers!$A$1:$A$1001,customers!$G$1:$G$1001,,0)</f>
        <v>United States</v>
      </c>
      <c r="I292" t="str">
        <f>_xlfn.XLOOKUP(D292,products!$A$1:$A$49,products!$B$1:$B$49,,0)</f>
        <v>Ara</v>
      </c>
      <c r="J292" t="str">
        <f>_xlfn.XLOOKUP(D292,products!$A$1:$A$49,products!$C$1:$C$49,,0)</f>
        <v>D</v>
      </c>
      <c r="K292" s="5">
        <f>_xlfn.XLOOKUP(D292,products!$A$1:$A$49,products!$D$1:$D$49,,0)</f>
        <v>1</v>
      </c>
      <c r="L292" s="7">
        <f>_xlfn.XLOOKUP(D292,products!$A$1:$A$49,products!$E$1:$E$49,,0)</f>
        <v>9.9499999999999993</v>
      </c>
      <c r="M292" s="7">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IF(_xlfn.XLOOKUP(F293,customers!$B$1:$B$1001,customers!$C$1:$C$1001,,0)=0,"",_xlfn.XLOOKUP(F293,customers!$B$1:$B$1001,customers!$C$1:$C$1001,,0))</f>
        <v/>
      </c>
      <c r="H293" s="2" t="str">
        <f>_xlfn.XLOOKUP(C293,customers!$A$1:$A$1001,customers!$G$1:$G$1001,,0)</f>
        <v>Ireland</v>
      </c>
      <c r="I293" t="str">
        <f>_xlfn.XLOOKUP(D293,products!$A$1:$A$49,products!$B$1:$B$49,,0)</f>
        <v>Exc</v>
      </c>
      <c r="J293" t="str">
        <f>_xlfn.XLOOKUP(D293,products!$A$1:$A$49,products!$C$1:$C$49,,0)</f>
        <v>M</v>
      </c>
      <c r="K293" s="5">
        <f>_xlfn.XLOOKUP(D293,products!$A$1:$A$49,products!$D$1:$D$49,,0)</f>
        <v>0.5</v>
      </c>
      <c r="L293" s="7">
        <f>_xlfn.XLOOKUP(D293,products!$A$1:$A$49,products!$E$1:$E$49,,0)</f>
        <v>8.25</v>
      </c>
      <c r="M293" s="7">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IF(_xlfn.XLOOKUP(F294,customers!$B$1:$B$1001,customers!$C$1:$C$1001,,0)=0,"",_xlfn.XLOOKUP(F294,customers!$B$1:$B$1001,customers!$C$1:$C$1001,,0))</f>
        <v>ihussey84@mapy.cz</v>
      </c>
      <c r="H294" s="2" t="str">
        <f>_xlfn.XLOOKUP(C294,customers!$A$1:$A$1001,customers!$G$1:$G$1001,,0)</f>
        <v>United States</v>
      </c>
      <c r="I294" t="str">
        <f>_xlfn.XLOOKUP(D294,products!$A$1:$A$49,products!$B$1:$B$49,,0)</f>
        <v>Ara</v>
      </c>
      <c r="J294" t="str">
        <f>_xlfn.XLOOKUP(D294,products!$A$1:$A$49,products!$C$1:$C$49,,0)</f>
        <v>D</v>
      </c>
      <c r="K294" s="5">
        <f>_xlfn.XLOOKUP(D294,products!$A$1:$A$49,products!$D$1:$D$49,,0)</f>
        <v>0.5</v>
      </c>
      <c r="L294" s="7">
        <f>_xlfn.XLOOKUP(D294,products!$A$1:$A$49,products!$E$1:$E$49,,0)</f>
        <v>5.97</v>
      </c>
      <c r="M294" s="7">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IF(_xlfn.XLOOKUP(F295,customers!$B$1:$B$1001,customers!$C$1:$C$1001,,0)=0,"",_xlfn.XLOOKUP(F295,customers!$B$1:$B$1001,customers!$C$1:$C$1001,,0))</f>
        <v>cpinkerton85@upenn.edu</v>
      </c>
      <c r="H295" s="2" t="str">
        <f>_xlfn.XLOOKUP(C295,customers!$A$1:$A$1001,customers!$G$1:$G$1001,,0)</f>
        <v>United States</v>
      </c>
      <c r="I295" t="str">
        <f>_xlfn.XLOOKUP(D295,products!$A$1:$A$49,products!$B$1:$B$49,,0)</f>
        <v>Ara</v>
      </c>
      <c r="J295" t="str">
        <f>_xlfn.XLOOKUP(D295,products!$A$1:$A$49,products!$C$1:$C$49,,0)</f>
        <v>D</v>
      </c>
      <c r="K295" s="5">
        <f>_xlfn.XLOOKUP(D295,products!$A$1:$A$49,products!$D$1:$D$49,,0)</f>
        <v>0.5</v>
      </c>
      <c r="L295" s="7">
        <f>_xlfn.XLOOKUP(D295,products!$A$1:$A$49,products!$E$1:$E$49,,0)</f>
        <v>5.97</v>
      </c>
      <c r="M295" s="7">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IF(_xlfn.XLOOKUP(F296,customers!$B$1:$B$1001,customers!$C$1:$C$1001,,0)=0,"",_xlfn.XLOOKUP(F296,customers!$B$1:$B$1001,customers!$C$1:$C$1001,,0))</f>
        <v/>
      </c>
      <c r="H296" s="2" t="str">
        <f>_xlfn.XLOOKUP(C296,customers!$A$1:$A$1001,customers!$G$1:$G$1001,,0)</f>
        <v>United States</v>
      </c>
      <c r="I296" t="str">
        <f>_xlfn.XLOOKUP(D296,products!$A$1:$A$49,products!$B$1:$B$49,,0)</f>
        <v>Exc</v>
      </c>
      <c r="J296" t="str">
        <f>_xlfn.XLOOKUP(D296,products!$A$1:$A$49,products!$C$1:$C$49,,0)</f>
        <v>L</v>
      </c>
      <c r="K296" s="5">
        <f>_xlfn.XLOOKUP(D296,products!$A$1:$A$49,products!$D$1:$D$49,,0)</f>
        <v>1</v>
      </c>
      <c r="L296" s="7">
        <f>_xlfn.XLOOKUP(D296,products!$A$1:$A$49,products!$E$1:$E$49,,0)</f>
        <v>14.85</v>
      </c>
      <c r="M296" s="7">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IF(_xlfn.XLOOKUP(F297,customers!$B$1:$B$1001,customers!$C$1:$C$1001,,0)=0,"",_xlfn.XLOOKUP(F297,customers!$B$1:$B$1001,customers!$C$1:$C$1001,,0))</f>
        <v/>
      </c>
      <c r="H297" s="2" t="str">
        <f>_xlfn.XLOOKUP(C297,customers!$A$1:$A$1001,customers!$G$1:$G$1001,,0)</f>
        <v>United States</v>
      </c>
      <c r="I297" t="str">
        <f>_xlfn.XLOOKUP(D297,products!$A$1:$A$49,products!$B$1:$B$49,,0)</f>
        <v>Exc</v>
      </c>
      <c r="J297" t="str">
        <f>_xlfn.XLOOKUP(D297,products!$A$1:$A$49,products!$C$1:$C$49,,0)</f>
        <v>M</v>
      </c>
      <c r="K297" s="5">
        <f>_xlfn.XLOOKUP(D297,products!$A$1:$A$49,products!$D$1:$D$49,,0)</f>
        <v>1</v>
      </c>
      <c r="L297" s="7">
        <f>_xlfn.XLOOKUP(D297,products!$A$1:$A$49,products!$E$1:$E$49,,0)</f>
        <v>13.75</v>
      </c>
      <c r="M297" s="7">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IF(_xlfn.XLOOKUP(F298,customers!$B$1:$B$1001,customers!$C$1:$C$1001,,0)=0,"",_xlfn.XLOOKUP(F298,customers!$B$1:$B$1001,customers!$C$1:$C$1001,,0))</f>
        <v>dvizor88@furl.net</v>
      </c>
      <c r="H298" s="2" t="str">
        <f>_xlfn.XLOOKUP(C298,customers!$A$1:$A$1001,customers!$G$1:$G$1001,,0)</f>
        <v>United States</v>
      </c>
      <c r="I298" t="str">
        <f>_xlfn.XLOOKUP(D298,products!$A$1:$A$49,products!$B$1:$B$49,,0)</f>
        <v>Rob</v>
      </c>
      <c r="J298" t="str">
        <f>_xlfn.XLOOKUP(D298,products!$A$1:$A$49,products!$C$1:$C$49,,0)</f>
        <v>M</v>
      </c>
      <c r="K298" s="5">
        <f>_xlfn.XLOOKUP(D298,products!$A$1:$A$49,products!$D$1:$D$49,,0)</f>
        <v>0.5</v>
      </c>
      <c r="L298" s="7">
        <f>_xlfn.XLOOKUP(D298,products!$A$1:$A$49,products!$E$1:$E$49,,0)</f>
        <v>5.97</v>
      </c>
      <c r="M298" s="7">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IF(_xlfn.XLOOKUP(F299,customers!$B$1:$B$1001,customers!$C$1:$C$1001,,0)=0,"",_xlfn.XLOOKUP(F299,customers!$B$1:$B$1001,customers!$C$1:$C$1001,,0))</f>
        <v>esedgebeer89@oaic.gov.au</v>
      </c>
      <c r="H299" s="2" t="str">
        <f>_xlfn.XLOOKUP(C299,customers!$A$1:$A$1001,customers!$G$1:$G$1001,,0)</f>
        <v>United States</v>
      </c>
      <c r="I299" t="str">
        <f>_xlfn.XLOOKUP(D299,products!$A$1:$A$49,products!$B$1:$B$49,,0)</f>
        <v>Rob</v>
      </c>
      <c r="J299" t="str">
        <f>_xlfn.XLOOKUP(D299,products!$A$1:$A$49,products!$C$1:$C$49,,0)</f>
        <v>D</v>
      </c>
      <c r="K299" s="5">
        <f>_xlfn.XLOOKUP(D299,products!$A$1:$A$49,products!$D$1:$D$49,,0)</f>
        <v>0.5</v>
      </c>
      <c r="L299" s="7">
        <f>_xlfn.XLOOKUP(D299,products!$A$1:$A$49,products!$E$1:$E$49,,0)</f>
        <v>5.3699999999999992</v>
      </c>
      <c r="M299" s="7">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IF(_xlfn.XLOOKUP(F300,customers!$B$1:$B$1001,customers!$C$1:$C$1001,,0)=0,"",_xlfn.XLOOKUP(F300,customers!$B$1:$B$1001,customers!$C$1:$C$1001,,0))</f>
        <v>klestrange8a@lulu.com</v>
      </c>
      <c r="H300" s="2" t="str">
        <f>_xlfn.XLOOKUP(C300,customers!$A$1:$A$1001,customers!$G$1:$G$1001,,0)</f>
        <v>United States</v>
      </c>
      <c r="I300" t="str">
        <f>_xlfn.XLOOKUP(D300,products!$A$1:$A$49,products!$B$1:$B$49,,0)</f>
        <v>Exc</v>
      </c>
      <c r="J300" t="str">
        <f>_xlfn.XLOOKUP(D300,products!$A$1:$A$49,products!$C$1:$C$49,,0)</f>
        <v>L</v>
      </c>
      <c r="K300" s="5">
        <f>_xlfn.XLOOKUP(D300,products!$A$1:$A$49,products!$D$1:$D$49,,0)</f>
        <v>0.2</v>
      </c>
      <c r="L300" s="7">
        <f>_xlfn.XLOOKUP(D300,products!$A$1:$A$49,products!$E$1:$E$49,,0)</f>
        <v>4.4550000000000001</v>
      </c>
      <c r="M300" s="7">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IF(_xlfn.XLOOKUP(F301,customers!$B$1:$B$1001,customers!$C$1:$C$1001,,0)=0,"",_xlfn.XLOOKUP(F301,customers!$B$1:$B$1001,customers!$C$1:$C$1001,,0))</f>
        <v>ltanti8b@techcrunch.com</v>
      </c>
      <c r="H301" s="2" t="str">
        <f>_xlfn.XLOOKUP(C301,customers!$A$1:$A$1001,customers!$G$1:$G$1001,,0)</f>
        <v>United States</v>
      </c>
      <c r="I301" t="str">
        <f>_xlfn.XLOOKUP(D301,products!$A$1:$A$49,products!$B$1:$B$49,,0)</f>
        <v>Exc</v>
      </c>
      <c r="J301" t="str">
        <f>_xlfn.XLOOKUP(D301,products!$A$1:$A$49,products!$C$1:$C$49,,0)</f>
        <v>L</v>
      </c>
      <c r="K301" s="5">
        <f>_xlfn.XLOOKUP(D301,products!$A$1:$A$49,products!$D$1:$D$49,,0)</f>
        <v>2.5</v>
      </c>
      <c r="L301" s="7">
        <f>_xlfn.XLOOKUP(D301,products!$A$1:$A$49,products!$E$1:$E$49,,0)</f>
        <v>34.154999999999994</v>
      </c>
      <c r="M301" s="7">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IF(_xlfn.XLOOKUP(F302,customers!$B$1:$B$1001,customers!$C$1:$C$1001,,0)=0,"",_xlfn.XLOOKUP(F302,customers!$B$1:$B$1001,customers!$C$1:$C$1001,,0))</f>
        <v>ade8c@1und1.de</v>
      </c>
      <c r="H302" s="2" t="str">
        <f>_xlfn.XLOOKUP(C302,customers!$A$1:$A$1001,customers!$G$1:$G$1001,,0)</f>
        <v>United States</v>
      </c>
      <c r="I302" t="str">
        <f>_xlfn.XLOOKUP(D302,products!$A$1:$A$49,products!$B$1:$B$49,,0)</f>
        <v>Ara</v>
      </c>
      <c r="J302" t="str">
        <f>_xlfn.XLOOKUP(D302,products!$A$1:$A$49,products!$C$1:$C$49,,0)</f>
        <v>L</v>
      </c>
      <c r="K302" s="5">
        <f>_xlfn.XLOOKUP(D302,products!$A$1:$A$49,products!$D$1:$D$49,,0)</f>
        <v>1</v>
      </c>
      <c r="L302" s="7">
        <f>_xlfn.XLOOKUP(D302,products!$A$1:$A$49,products!$E$1:$E$49,,0)</f>
        <v>12.95</v>
      </c>
      <c r="M302" s="7">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IF(_xlfn.XLOOKUP(F303,customers!$B$1:$B$1001,customers!$C$1:$C$1001,,0)=0,"",_xlfn.XLOOKUP(F303,customers!$B$1:$B$1001,customers!$C$1:$C$1001,,0))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5">
        <f>_xlfn.XLOOKUP(D303,products!$A$1:$A$49,products!$D$1:$D$49,,0)</f>
        <v>0.2</v>
      </c>
      <c r="L303" s="7">
        <f>_xlfn.XLOOKUP(D303,products!$A$1:$A$49,products!$E$1:$E$49,,0)</f>
        <v>3.8849999999999998</v>
      </c>
      <c r="M303" s="7">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IF(_xlfn.XLOOKUP(F304,customers!$B$1:$B$1001,customers!$C$1:$C$1001,,0)=0,"",_xlfn.XLOOKUP(F304,customers!$B$1:$B$1001,customers!$C$1:$C$1001,,0))</f>
        <v>pstonner8e@moonfruit.com</v>
      </c>
      <c r="H304" s="2" t="str">
        <f>_xlfn.XLOOKUP(C304,customers!$A$1:$A$1001,customers!$G$1:$G$1001,,0)</f>
        <v>United States</v>
      </c>
      <c r="I304" t="str">
        <f>_xlfn.XLOOKUP(D304,products!$A$1:$A$49,products!$B$1:$B$49,,0)</f>
        <v>Ara</v>
      </c>
      <c r="J304" t="str">
        <f>_xlfn.XLOOKUP(D304,products!$A$1:$A$49,products!$C$1:$C$49,,0)</f>
        <v>M</v>
      </c>
      <c r="K304" s="5">
        <f>_xlfn.XLOOKUP(D304,products!$A$1:$A$49,products!$D$1:$D$49,,0)</f>
        <v>0.5</v>
      </c>
      <c r="L304" s="7">
        <f>_xlfn.XLOOKUP(D304,products!$A$1:$A$49,products!$E$1:$E$49,,0)</f>
        <v>6.75</v>
      </c>
      <c r="M304" s="7">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IF(_xlfn.XLOOKUP(F305,customers!$B$1:$B$1001,customers!$C$1:$C$1001,,0)=0,"",_xlfn.XLOOKUP(F305,customers!$B$1:$B$1001,customers!$C$1:$C$1001,,0))</f>
        <v>dtingly8f@goo.ne.jp</v>
      </c>
      <c r="H305" s="2" t="str">
        <f>_xlfn.XLOOKUP(C305,customers!$A$1:$A$1001,customers!$G$1:$G$1001,,0)</f>
        <v>United States</v>
      </c>
      <c r="I305" t="str">
        <f>_xlfn.XLOOKUP(D305,products!$A$1:$A$49,products!$B$1:$B$49,,0)</f>
        <v>Exc</v>
      </c>
      <c r="J305" t="str">
        <f>_xlfn.XLOOKUP(D305,products!$A$1:$A$49,products!$C$1:$C$49,,0)</f>
        <v>D</v>
      </c>
      <c r="K305" s="5">
        <f>_xlfn.XLOOKUP(D305,products!$A$1:$A$49,products!$D$1:$D$49,,0)</f>
        <v>2.5</v>
      </c>
      <c r="L305" s="7">
        <f>_xlfn.XLOOKUP(D305,products!$A$1:$A$49,products!$E$1:$E$49,,0)</f>
        <v>27.945</v>
      </c>
      <c r="M305" s="7">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IF(_xlfn.XLOOKUP(F306,customers!$B$1:$B$1001,customers!$C$1:$C$1001,,0)=0,"",_xlfn.XLOOKUP(F306,customers!$B$1:$B$1001,customers!$C$1:$C$1001,,0))</f>
        <v>crushe8n@about.me</v>
      </c>
      <c r="H306" s="2" t="str">
        <f>_xlfn.XLOOKUP(C306,customers!$A$1:$A$1001,customers!$G$1:$G$1001,,0)</f>
        <v>United States</v>
      </c>
      <c r="I306" t="str">
        <f>_xlfn.XLOOKUP(D306,products!$A$1:$A$49,products!$B$1:$B$49,,0)</f>
        <v>Ara</v>
      </c>
      <c r="J306" t="str">
        <f>_xlfn.XLOOKUP(D306,products!$A$1:$A$49,products!$C$1:$C$49,,0)</f>
        <v>L</v>
      </c>
      <c r="K306" s="5">
        <f>_xlfn.XLOOKUP(D306,products!$A$1:$A$49,products!$D$1:$D$49,,0)</f>
        <v>0.2</v>
      </c>
      <c r="L306" s="7">
        <f>_xlfn.XLOOKUP(D306,products!$A$1:$A$49,products!$E$1:$E$49,,0)</f>
        <v>3.8849999999999998</v>
      </c>
      <c r="M306" s="7">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IF(_xlfn.XLOOKUP(F307,customers!$B$1:$B$1001,customers!$C$1:$C$1001,,0)=0,"",_xlfn.XLOOKUP(F307,customers!$B$1:$B$1001,customers!$C$1:$C$1001,,0))</f>
        <v>bchecci8h@usa.gov</v>
      </c>
      <c r="H307" s="2" t="str">
        <f>_xlfn.XLOOKUP(C307,customers!$A$1:$A$1001,customers!$G$1:$G$1001,,0)</f>
        <v>United Kingdom</v>
      </c>
      <c r="I307" t="str">
        <f>_xlfn.XLOOKUP(D307,products!$A$1:$A$49,products!$B$1:$B$49,,0)</f>
        <v>Lib</v>
      </c>
      <c r="J307" t="str">
        <f>_xlfn.XLOOKUP(D307,products!$A$1:$A$49,products!$C$1:$C$49,,0)</f>
        <v>M</v>
      </c>
      <c r="K307" s="5">
        <f>_xlfn.XLOOKUP(D307,products!$A$1:$A$49,products!$D$1:$D$49,,0)</f>
        <v>0.2</v>
      </c>
      <c r="L307" s="7">
        <f>_xlfn.XLOOKUP(D307,products!$A$1:$A$49,products!$E$1:$E$49,,0)</f>
        <v>4.3650000000000002</v>
      </c>
      <c r="M307" s="7">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IF(_xlfn.XLOOKUP(F308,customers!$B$1:$B$1001,customers!$C$1:$C$1001,,0)=0,"",_xlfn.XLOOKUP(F308,customers!$B$1:$B$1001,customers!$C$1:$C$1001,,0))</f>
        <v>jbagot8i@mac.com</v>
      </c>
      <c r="H308" s="2" t="str">
        <f>_xlfn.XLOOKUP(C308,customers!$A$1:$A$1001,customers!$G$1:$G$1001,,0)</f>
        <v>United States</v>
      </c>
      <c r="I308" t="str">
        <f>_xlfn.XLOOKUP(D308,products!$A$1:$A$49,products!$B$1:$B$49,,0)</f>
        <v>Rob</v>
      </c>
      <c r="J308" t="str">
        <f>_xlfn.XLOOKUP(D308,products!$A$1:$A$49,products!$C$1:$C$49,,0)</f>
        <v>M</v>
      </c>
      <c r="K308" s="5">
        <f>_xlfn.XLOOKUP(D308,products!$A$1:$A$49,products!$D$1:$D$49,,0)</f>
        <v>0.2</v>
      </c>
      <c r="L308" s="7">
        <f>_xlfn.XLOOKUP(D308,products!$A$1:$A$49,products!$E$1:$E$49,,0)</f>
        <v>2.9849999999999999</v>
      </c>
      <c r="M308" s="7">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IF(_xlfn.XLOOKUP(F309,customers!$B$1:$B$1001,customers!$C$1:$C$1001,,0)=0,"",_xlfn.XLOOKUP(F309,customers!$B$1:$B$1001,customers!$C$1:$C$1001,,0))</f>
        <v>ebeeble8j@soundcloud.com</v>
      </c>
      <c r="H309" s="2" t="str">
        <f>_xlfn.XLOOKUP(C309,customers!$A$1:$A$1001,customers!$G$1:$G$1001,,0)</f>
        <v>United States</v>
      </c>
      <c r="I309" t="str">
        <f>_xlfn.XLOOKUP(D309,products!$A$1:$A$49,products!$B$1:$B$49,,0)</f>
        <v>Ara</v>
      </c>
      <c r="J309" t="str">
        <f>_xlfn.XLOOKUP(D309,products!$A$1:$A$49,products!$C$1:$C$49,,0)</f>
        <v>M</v>
      </c>
      <c r="K309" s="5">
        <f>_xlfn.XLOOKUP(D309,products!$A$1:$A$49,products!$D$1:$D$49,,0)</f>
        <v>1</v>
      </c>
      <c r="L309" s="7">
        <f>_xlfn.XLOOKUP(D309,products!$A$1:$A$49,products!$E$1:$E$49,,0)</f>
        <v>11.25</v>
      </c>
      <c r="M309" s="7">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IF(_xlfn.XLOOKUP(F310,customers!$B$1:$B$1001,customers!$C$1:$C$1001,,0)=0,"",_xlfn.XLOOKUP(F310,customers!$B$1:$B$1001,customers!$C$1:$C$1001,,0))</f>
        <v>cfluin8k@flickr.com</v>
      </c>
      <c r="H310" s="2" t="str">
        <f>_xlfn.XLOOKUP(C310,customers!$A$1:$A$1001,customers!$G$1:$G$1001,,0)</f>
        <v>United Kingdom</v>
      </c>
      <c r="I310" t="str">
        <f>_xlfn.XLOOKUP(D310,products!$A$1:$A$49,products!$B$1:$B$49,,0)</f>
        <v>Ara</v>
      </c>
      <c r="J310" t="str">
        <f>_xlfn.XLOOKUP(D310,products!$A$1:$A$49,products!$C$1:$C$49,,0)</f>
        <v>M</v>
      </c>
      <c r="K310" s="5">
        <f>_xlfn.XLOOKUP(D310,products!$A$1:$A$49,products!$D$1:$D$49,,0)</f>
        <v>1</v>
      </c>
      <c r="L310" s="7">
        <f>_xlfn.XLOOKUP(D310,products!$A$1:$A$49,products!$E$1:$E$49,,0)</f>
        <v>11.25</v>
      </c>
      <c r="M310" s="7">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IF(_xlfn.XLOOKUP(F311,customers!$B$1:$B$1001,customers!$C$1:$C$1001,,0)=0,"",_xlfn.XLOOKUP(F311,customers!$B$1:$B$1001,customers!$C$1:$C$1001,,0))</f>
        <v>ebletsor8l@vinaora.com</v>
      </c>
      <c r="H311" s="2" t="str">
        <f>_xlfn.XLOOKUP(C311,customers!$A$1:$A$1001,customers!$G$1:$G$1001,,0)</f>
        <v>United States</v>
      </c>
      <c r="I311" t="str">
        <f>_xlfn.XLOOKUP(D311,products!$A$1:$A$49,products!$B$1:$B$49,,0)</f>
        <v>Lib</v>
      </c>
      <c r="J311" t="str">
        <f>_xlfn.XLOOKUP(D311,products!$A$1:$A$49,products!$C$1:$C$49,,0)</f>
        <v>M</v>
      </c>
      <c r="K311" s="5">
        <f>_xlfn.XLOOKUP(D311,products!$A$1:$A$49,products!$D$1:$D$49,,0)</f>
        <v>0.2</v>
      </c>
      <c r="L311" s="7">
        <f>_xlfn.XLOOKUP(D311,products!$A$1:$A$49,products!$E$1:$E$49,,0)</f>
        <v>4.3650000000000002</v>
      </c>
      <c r="M311" s="7">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IF(_xlfn.XLOOKUP(F312,customers!$B$1:$B$1001,customers!$C$1:$C$1001,,0)=0,"",_xlfn.XLOOKUP(F312,customers!$B$1:$B$1001,customers!$C$1:$C$1001,,0))</f>
        <v>pbrydell8m@bloglovin.com</v>
      </c>
      <c r="H312" s="2" t="str">
        <f>_xlfn.XLOOKUP(C312,customers!$A$1:$A$1001,customers!$G$1:$G$1001,,0)</f>
        <v>Ireland</v>
      </c>
      <c r="I312" t="str">
        <f>_xlfn.XLOOKUP(D312,products!$A$1:$A$49,products!$B$1:$B$49,,0)</f>
        <v>Exc</v>
      </c>
      <c r="J312" t="str">
        <f>_xlfn.XLOOKUP(D312,products!$A$1:$A$49,products!$C$1:$C$49,,0)</f>
        <v>L</v>
      </c>
      <c r="K312" s="5">
        <f>_xlfn.XLOOKUP(D312,products!$A$1:$A$49,products!$D$1:$D$49,,0)</f>
        <v>1</v>
      </c>
      <c r="L312" s="7">
        <f>_xlfn.XLOOKUP(D312,products!$A$1:$A$49,products!$E$1:$E$49,,0)</f>
        <v>14.85</v>
      </c>
      <c r="M312" s="7">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IF(_xlfn.XLOOKUP(F313,customers!$B$1:$B$1001,customers!$C$1:$C$1001,,0)=0,"",_xlfn.XLOOKUP(F313,customers!$B$1:$B$1001,customers!$C$1:$C$1001,,0))</f>
        <v>crushe8n@about.me</v>
      </c>
      <c r="H313" s="2" t="str">
        <f>_xlfn.XLOOKUP(C313,customers!$A$1:$A$1001,customers!$G$1:$G$1001,,0)</f>
        <v>United States</v>
      </c>
      <c r="I313" t="str">
        <f>_xlfn.XLOOKUP(D313,products!$A$1:$A$49,products!$B$1:$B$49,,0)</f>
        <v>Exc</v>
      </c>
      <c r="J313" t="str">
        <f>_xlfn.XLOOKUP(D313,products!$A$1:$A$49,products!$C$1:$C$49,,0)</f>
        <v>M</v>
      </c>
      <c r="K313" s="5">
        <f>_xlfn.XLOOKUP(D313,products!$A$1:$A$49,products!$D$1:$D$49,,0)</f>
        <v>2.5</v>
      </c>
      <c r="L313" s="7">
        <f>_xlfn.XLOOKUP(D313,products!$A$1:$A$49,products!$E$1:$E$49,,0)</f>
        <v>31.624999999999996</v>
      </c>
      <c r="M313" s="7">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IF(_xlfn.XLOOKUP(F314,customers!$B$1:$B$1001,customers!$C$1:$C$1001,,0)=0,"",_xlfn.XLOOKUP(F314,customers!$B$1:$B$1001,customers!$C$1:$C$1001,,0))</f>
        <v>nleethem8o@mac.com</v>
      </c>
      <c r="H314" s="2" t="str">
        <f>_xlfn.XLOOKUP(C314,customers!$A$1:$A$1001,customers!$G$1:$G$1001,,0)</f>
        <v>United States</v>
      </c>
      <c r="I314" t="str">
        <f>_xlfn.XLOOKUP(D314,products!$A$1:$A$49,products!$B$1:$B$49,,0)</f>
        <v>Rob</v>
      </c>
      <c r="J314" t="str">
        <f>_xlfn.XLOOKUP(D314,products!$A$1:$A$49,products!$C$1:$C$49,,0)</f>
        <v>M</v>
      </c>
      <c r="K314" s="5">
        <f>_xlfn.XLOOKUP(D314,products!$A$1:$A$49,products!$D$1:$D$49,,0)</f>
        <v>0.5</v>
      </c>
      <c r="L314" s="7">
        <f>_xlfn.XLOOKUP(D314,products!$A$1:$A$49,products!$E$1:$E$49,,0)</f>
        <v>5.97</v>
      </c>
      <c r="M314" s="7">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IF(_xlfn.XLOOKUP(F315,customers!$B$1:$B$1001,customers!$C$1:$C$1001,,0)=0,"",_xlfn.XLOOKUP(F315,customers!$B$1:$B$1001,customers!$C$1:$C$1001,,0))</f>
        <v>anesfield8p@people.com.cn</v>
      </c>
      <c r="H315" s="2" t="str">
        <f>_xlfn.XLOOKUP(C315,customers!$A$1:$A$1001,customers!$G$1:$G$1001,,0)</f>
        <v>United Kingdom</v>
      </c>
      <c r="I315" t="str">
        <f>_xlfn.XLOOKUP(D315,products!$A$1:$A$49,products!$B$1:$B$49,,0)</f>
        <v>Rob</v>
      </c>
      <c r="J315" t="str">
        <f>_xlfn.XLOOKUP(D315,products!$A$1:$A$49,products!$C$1:$C$49,,0)</f>
        <v>M</v>
      </c>
      <c r="K315" s="5">
        <f>_xlfn.XLOOKUP(D315,products!$A$1:$A$49,products!$D$1:$D$49,,0)</f>
        <v>1</v>
      </c>
      <c r="L315" s="7">
        <f>_xlfn.XLOOKUP(D315,products!$A$1:$A$49,products!$E$1:$E$49,,0)</f>
        <v>9.9499999999999993</v>
      </c>
      <c r="M315" s="7">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IF(_xlfn.XLOOKUP(F316,customers!$B$1:$B$1001,customers!$C$1:$C$1001,,0)=0,"",_xlfn.XLOOKUP(F316,customers!$B$1:$B$1001,customers!$C$1:$C$1001,,0))</f>
        <v/>
      </c>
      <c r="H316" s="2" t="str">
        <f>_xlfn.XLOOKUP(C316,customers!$A$1:$A$1001,customers!$G$1:$G$1001,,0)</f>
        <v>United States</v>
      </c>
      <c r="I316" t="str">
        <f>_xlfn.XLOOKUP(D316,products!$A$1:$A$49,products!$B$1:$B$49,,0)</f>
        <v>Rob</v>
      </c>
      <c r="J316" t="str">
        <f>_xlfn.XLOOKUP(D316,products!$A$1:$A$49,products!$C$1:$C$49,,0)</f>
        <v>D</v>
      </c>
      <c r="K316" s="5">
        <f>_xlfn.XLOOKUP(D316,products!$A$1:$A$49,products!$D$1:$D$49,,0)</f>
        <v>1</v>
      </c>
      <c r="L316" s="7">
        <f>_xlfn.XLOOKUP(D316,products!$A$1:$A$49,products!$E$1:$E$49,,0)</f>
        <v>8.9499999999999993</v>
      </c>
      <c r="M316" s="7">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IF(_xlfn.XLOOKUP(F317,customers!$B$1:$B$1001,customers!$C$1:$C$1001,,0)=0,"",_xlfn.XLOOKUP(F317,customers!$B$1:$B$1001,customers!$C$1:$C$1001,,0))</f>
        <v>mbrockway8r@ibm.com</v>
      </c>
      <c r="H317" s="2" t="str">
        <f>_xlfn.XLOOKUP(C317,customers!$A$1:$A$1001,customers!$G$1:$G$1001,,0)</f>
        <v>United States</v>
      </c>
      <c r="I317" t="str">
        <f>_xlfn.XLOOKUP(D317,products!$A$1:$A$49,products!$B$1:$B$49,,0)</f>
        <v>Exc</v>
      </c>
      <c r="J317" t="str">
        <f>_xlfn.XLOOKUP(D317,products!$A$1:$A$49,products!$C$1:$C$49,,0)</f>
        <v>L</v>
      </c>
      <c r="K317" s="5">
        <f>_xlfn.XLOOKUP(D317,products!$A$1:$A$49,products!$D$1:$D$49,,0)</f>
        <v>2.5</v>
      </c>
      <c r="L317" s="7">
        <f>_xlfn.XLOOKUP(D317,products!$A$1:$A$49,products!$E$1:$E$49,,0)</f>
        <v>34.154999999999994</v>
      </c>
      <c r="M317" s="7">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IF(_xlfn.XLOOKUP(F318,customers!$B$1:$B$1001,customers!$C$1:$C$1001,,0)=0,"",_xlfn.XLOOKUP(F318,customers!$B$1:$B$1001,customers!$C$1:$C$1001,,0))</f>
        <v>nlush8s@dedecms.com</v>
      </c>
      <c r="H318" s="2" t="str">
        <f>_xlfn.XLOOKUP(C318,customers!$A$1:$A$1001,customers!$G$1:$G$1001,,0)</f>
        <v>Ireland</v>
      </c>
      <c r="I318" t="str">
        <f>_xlfn.XLOOKUP(D318,products!$A$1:$A$49,products!$B$1:$B$49,,0)</f>
        <v>Exc</v>
      </c>
      <c r="J318" t="str">
        <f>_xlfn.XLOOKUP(D318,products!$A$1:$A$49,products!$C$1:$C$49,,0)</f>
        <v>L</v>
      </c>
      <c r="K318" s="5">
        <f>_xlfn.XLOOKUP(D318,products!$A$1:$A$49,products!$D$1:$D$49,,0)</f>
        <v>2.5</v>
      </c>
      <c r="L318" s="7">
        <f>_xlfn.XLOOKUP(D318,products!$A$1:$A$49,products!$E$1:$E$49,,0)</f>
        <v>34.154999999999994</v>
      </c>
      <c r="M318" s="7">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IF(_xlfn.XLOOKUP(F319,customers!$B$1:$B$1001,customers!$C$1:$C$1001,,0)=0,"",_xlfn.XLOOKUP(F319,customers!$B$1:$B$1001,customers!$C$1:$C$1001,,0))</f>
        <v>smcmillian8t@csmonitor.com</v>
      </c>
      <c r="H319" s="2" t="str">
        <f>_xlfn.XLOOKUP(C319,customers!$A$1:$A$1001,customers!$G$1:$G$1001,,0)</f>
        <v>United States</v>
      </c>
      <c r="I319" t="str">
        <f>_xlfn.XLOOKUP(D319,products!$A$1:$A$49,products!$B$1:$B$49,,0)</f>
        <v>Exc</v>
      </c>
      <c r="J319" t="str">
        <f>_xlfn.XLOOKUP(D319,products!$A$1:$A$49,products!$C$1:$C$49,,0)</f>
        <v>D</v>
      </c>
      <c r="K319" s="5">
        <f>_xlfn.XLOOKUP(D319,products!$A$1:$A$49,products!$D$1:$D$49,,0)</f>
        <v>0.5</v>
      </c>
      <c r="L319" s="7">
        <f>_xlfn.XLOOKUP(D319,products!$A$1:$A$49,products!$E$1:$E$49,,0)</f>
        <v>7.29</v>
      </c>
      <c r="M319" s="7">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IF(_xlfn.XLOOKUP(F320,customers!$B$1:$B$1001,customers!$C$1:$C$1001,,0)=0,"",_xlfn.XLOOKUP(F320,customers!$B$1:$B$1001,customers!$C$1:$C$1001,,0))</f>
        <v>tbennison8u@google.cn</v>
      </c>
      <c r="H320" s="2" t="str">
        <f>_xlfn.XLOOKUP(C320,customers!$A$1:$A$1001,customers!$G$1:$G$1001,,0)</f>
        <v>United States</v>
      </c>
      <c r="I320" t="str">
        <f>_xlfn.XLOOKUP(D320,products!$A$1:$A$49,products!$B$1:$B$49,,0)</f>
        <v>Ara</v>
      </c>
      <c r="J320" t="str">
        <f>_xlfn.XLOOKUP(D320,products!$A$1:$A$49,products!$C$1:$C$49,,0)</f>
        <v>M</v>
      </c>
      <c r="K320" s="5">
        <f>_xlfn.XLOOKUP(D320,products!$A$1:$A$49,products!$D$1:$D$49,,0)</f>
        <v>2.5</v>
      </c>
      <c r="L320" s="7">
        <f>_xlfn.XLOOKUP(D320,products!$A$1:$A$49,products!$E$1:$E$49,,0)</f>
        <v>25.874999999999996</v>
      </c>
      <c r="M320" s="7">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IF(_xlfn.XLOOKUP(F321,customers!$B$1:$B$1001,customers!$C$1:$C$1001,,0)=0,"",_xlfn.XLOOKUP(F321,customers!$B$1:$B$1001,customers!$C$1:$C$1001,,0))</f>
        <v>gtweed8v@yolasite.com</v>
      </c>
      <c r="H321" s="2" t="str">
        <f>_xlfn.XLOOKUP(C321,customers!$A$1:$A$1001,customers!$G$1:$G$1001,,0)</f>
        <v>United States</v>
      </c>
      <c r="I321" t="str">
        <f>_xlfn.XLOOKUP(D321,products!$A$1:$A$49,products!$B$1:$B$49,,0)</f>
        <v>Exc</v>
      </c>
      <c r="J321" t="str">
        <f>_xlfn.XLOOKUP(D321,products!$A$1:$A$49,products!$C$1:$C$49,,0)</f>
        <v>M</v>
      </c>
      <c r="K321" s="5">
        <f>_xlfn.XLOOKUP(D321,products!$A$1:$A$49,products!$D$1:$D$49,,0)</f>
        <v>0.2</v>
      </c>
      <c r="L321" s="7">
        <f>_xlfn.XLOOKUP(D321,products!$A$1:$A$49,products!$E$1:$E$49,,0)</f>
        <v>4.125</v>
      </c>
      <c r="M321" s="7">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IF(_xlfn.XLOOKUP(F322,customers!$B$1:$B$1001,customers!$C$1:$C$1001,,0)=0,"",_xlfn.XLOOKUP(F322,customers!$B$1:$B$1001,customers!$C$1:$C$1001,,0))</f>
        <v>gtweed8v@yolasite.com</v>
      </c>
      <c r="H322" s="2" t="str">
        <f>_xlfn.XLOOKUP(C322,customers!$A$1:$A$1001,customers!$G$1:$G$1001,,0)</f>
        <v>United States</v>
      </c>
      <c r="I322" t="str">
        <f>_xlfn.XLOOKUP(D322,products!$A$1:$A$49,products!$B$1:$B$49,,0)</f>
        <v>Ara</v>
      </c>
      <c r="J322" t="str">
        <f>_xlfn.XLOOKUP(D322,products!$A$1:$A$49,products!$C$1:$C$49,,0)</f>
        <v>L</v>
      </c>
      <c r="K322" s="5">
        <f>_xlfn.XLOOKUP(D322,products!$A$1:$A$49,products!$D$1:$D$49,,0)</f>
        <v>0.2</v>
      </c>
      <c r="L322" s="7">
        <f>_xlfn.XLOOKUP(D322,products!$A$1:$A$49,products!$E$1:$E$49,,0)</f>
        <v>3.8849999999999998</v>
      </c>
      <c r="M322" s="7">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IF(_xlfn.XLOOKUP(F323,customers!$B$1:$B$1001,customers!$C$1:$C$1001,,0)=0,"",_xlfn.XLOOKUP(F323,customers!$B$1:$B$1001,customers!$C$1:$C$1001,,0))</f>
        <v>ggoggin8x@wix.com</v>
      </c>
      <c r="H323" s="2" t="str">
        <f>_xlfn.XLOOKUP(C323,customers!$A$1:$A$1001,customers!$G$1:$G$1001,,0)</f>
        <v>Ireland</v>
      </c>
      <c r="I323" t="str">
        <f>_xlfn.XLOOKUP(D323,products!$A$1:$A$49,products!$B$1:$B$49,,0)</f>
        <v>Ara</v>
      </c>
      <c r="J323" t="str">
        <f>_xlfn.XLOOKUP(D323,products!$A$1:$A$49,products!$C$1:$C$49,,0)</f>
        <v>M</v>
      </c>
      <c r="K323" s="5">
        <f>_xlfn.XLOOKUP(D323,products!$A$1:$A$49,products!$D$1:$D$49,,0)</f>
        <v>0.2</v>
      </c>
      <c r="L323" s="7">
        <f>_xlfn.XLOOKUP(D323,products!$A$1:$A$49,products!$E$1:$E$49,,0)</f>
        <v>3.375</v>
      </c>
      <c r="M323" s="7">
        <f t="shared" ref="M323:M386" si="15">(L323*E323)</f>
        <v>20.25</v>
      </c>
      <c r="N323" t="str">
        <f t="shared" ref="N323:N386" si="16">IF(I323="Rob","Robusta", 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IF(_xlfn.XLOOKUP(F324,customers!$B$1:$B$1001,customers!$C$1:$C$1001,,0)=0,"",_xlfn.XLOOKUP(F324,customers!$B$1:$B$1001,customers!$C$1:$C$1001,,0))</f>
        <v>sjeyness8y@biglobe.ne.jp</v>
      </c>
      <c r="H324" s="2" t="str">
        <f>_xlfn.XLOOKUP(C324,customers!$A$1:$A$1001,customers!$G$1:$G$1001,,0)</f>
        <v>Ireland</v>
      </c>
      <c r="I324" t="str">
        <f>_xlfn.XLOOKUP(D324,products!$A$1:$A$49,products!$B$1:$B$49,,0)</f>
        <v>Lib</v>
      </c>
      <c r="J324" t="str">
        <f>_xlfn.XLOOKUP(D324,products!$A$1:$A$49,products!$C$1:$C$49,,0)</f>
        <v>D</v>
      </c>
      <c r="K324" s="5">
        <f>_xlfn.XLOOKUP(D324,products!$A$1:$A$49,products!$D$1:$D$49,,0)</f>
        <v>0.5</v>
      </c>
      <c r="L324" s="7">
        <f>_xlfn.XLOOKUP(D324,products!$A$1:$A$49,products!$E$1:$E$49,,0)</f>
        <v>7.77</v>
      </c>
      <c r="M324" s="7">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IF(_xlfn.XLOOKUP(F325,customers!$B$1:$B$1001,customers!$C$1:$C$1001,,0)=0,"",_xlfn.XLOOKUP(F325,customers!$B$1:$B$1001,customers!$C$1:$C$1001,,0))</f>
        <v>dbonhome8z@shinystat.com</v>
      </c>
      <c r="H325" s="2" t="str">
        <f>_xlfn.XLOOKUP(C325,customers!$A$1:$A$1001,customers!$G$1:$G$1001,,0)</f>
        <v>United States</v>
      </c>
      <c r="I325" t="str">
        <f>_xlfn.XLOOKUP(D325,products!$A$1:$A$49,products!$B$1:$B$49,,0)</f>
        <v>Exc</v>
      </c>
      <c r="J325" t="str">
        <f>_xlfn.XLOOKUP(D325,products!$A$1:$A$49,products!$C$1:$C$49,,0)</f>
        <v>D</v>
      </c>
      <c r="K325" s="5">
        <f>_xlfn.XLOOKUP(D325,products!$A$1:$A$49,products!$D$1:$D$49,,0)</f>
        <v>0.2</v>
      </c>
      <c r="L325" s="7">
        <f>_xlfn.XLOOKUP(D325,products!$A$1:$A$49,products!$E$1:$E$49,,0)</f>
        <v>3.645</v>
      </c>
      <c r="M325" s="7">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IF(_xlfn.XLOOKUP(F326,customers!$B$1:$B$1001,customers!$C$1:$C$1001,,0)=0,"",_xlfn.XLOOKUP(F326,customers!$B$1:$B$1001,customers!$C$1:$C$1001,,0))</f>
        <v/>
      </c>
      <c r="H326" s="2" t="str">
        <f>_xlfn.XLOOKUP(C326,customers!$A$1:$A$1001,customers!$G$1:$G$1001,,0)</f>
        <v>United States</v>
      </c>
      <c r="I326" t="str">
        <f>_xlfn.XLOOKUP(D326,products!$A$1:$A$49,products!$B$1:$B$49,,0)</f>
        <v>Exc</v>
      </c>
      <c r="J326" t="str">
        <f>_xlfn.XLOOKUP(D326,products!$A$1:$A$49,products!$C$1:$C$49,,0)</f>
        <v>M</v>
      </c>
      <c r="K326" s="5">
        <f>_xlfn.XLOOKUP(D326,products!$A$1:$A$49,products!$D$1:$D$49,,0)</f>
        <v>1</v>
      </c>
      <c r="L326" s="7">
        <f>_xlfn.XLOOKUP(D326,products!$A$1:$A$49,products!$E$1:$E$49,,0)</f>
        <v>13.75</v>
      </c>
      <c r="M326" s="7">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IF(_xlfn.XLOOKUP(F327,customers!$B$1:$B$1001,customers!$C$1:$C$1001,,0)=0,"",_xlfn.XLOOKUP(F327,customers!$B$1:$B$1001,customers!$C$1:$C$1001,,0))</f>
        <v>tle91@epa.gov</v>
      </c>
      <c r="H327" s="2" t="str">
        <f>_xlfn.XLOOKUP(C327,customers!$A$1:$A$1001,customers!$G$1:$G$1001,,0)</f>
        <v>United States</v>
      </c>
      <c r="I327" t="str">
        <f>_xlfn.XLOOKUP(D327,products!$A$1:$A$49,products!$B$1:$B$49,,0)</f>
        <v>Ara</v>
      </c>
      <c r="J327" t="str">
        <f>_xlfn.XLOOKUP(D327,products!$A$1:$A$49,products!$C$1:$C$49,,0)</f>
        <v>L</v>
      </c>
      <c r="K327" s="5">
        <f>_xlfn.XLOOKUP(D327,products!$A$1:$A$49,products!$D$1:$D$49,,0)</f>
        <v>2.5</v>
      </c>
      <c r="L327" s="7">
        <f>_xlfn.XLOOKUP(D327,products!$A$1:$A$49,products!$E$1:$E$49,,0)</f>
        <v>29.784999999999997</v>
      </c>
      <c r="M327" s="7">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IF(_xlfn.XLOOKUP(F328,customers!$B$1:$B$1001,customers!$C$1:$C$1001,,0)=0,"",_xlfn.XLOOKUP(F328,customers!$B$1:$B$1001,customers!$C$1:$C$1001,,0))</f>
        <v/>
      </c>
      <c r="H328" s="2" t="str">
        <f>_xlfn.XLOOKUP(C328,customers!$A$1:$A$1001,customers!$G$1:$G$1001,,0)</f>
        <v>United States</v>
      </c>
      <c r="I328" t="str">
        <f>_xlfn.XLOOKUP(D328,products!$A$1:$A$49,products!$B$1:$B$49,,0)</f>
        <v>Rob</v>
      </c>
      <c r="J328" t="str">
        <f>_xlfn.XLOOKUP(D328,products!$A$1:$A$49,products!$C$1:$C$49,,0)</f>
        <v>D</v>
      </c>
      <c r="K328" s="5">
        <f>_xlfn.XLOOKUP(D328,products!$A$1:$A$49,products!$D$1:$D$49,,0)</f>
        <v>1</v>
      </c>
      <c r="L328" s="7">
        <f>_xlfn.XLOOKUP(D328,products!$A$1:$A$49,products!$E$1:$E$49,,0)</f>
        <v>8.9499999999999993</v>
      </c>
      <c r="M328" s="7">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IF(_xlfn.XLOOKUP(F329,customers!$B$1:$B$1001,customers!$C$1:$C$1001,,0)=0,"",_xlfn.XLOOKUP(F329,customers!$B$1:$B$1001,customers!$C$1:$C$1001,,0))</f>
        <v>balldridge93@yandex.ru</v>
      </c>
      <c r="H329" s="2" t="str">
        <f>_xlfn.XLOOKUP(C329,customers!$A$1:$A$1001,customers!$G$1:$G$1001,,0)</f>
        <v>United States</v>
      </c>
      <c r="I329" t="str">
        <f>_xlfn.XLOOKUP(D329,products!$A$1:$A$49,products!$B$1:$B$49,,0)</f>
        <v>Rob</v>
      </c>
      <c r="J329" t="str">
        <f>_xlfn.XLOOKUP(D329,products!$A$1:$A$49,products!$C$1:$C$49,,0)</f>
        <v>D</v>
      </c>
      <c r="K329" s="5">
        <f>_xlfn.XLOOKUP(D329,products!$A$1:$A$49,products!$D$1:$D$49,,0)</f>
        <v>1</v>
      </c>
      <c r="L329" s="7">
        <f>_xlfn.XLOOKUP(D329,products!$A$1:$A$49,products!$E$1:$E$49,,0)</f>
        <v>8.9499999999999993</v>
      </c>
      <c r="M329" s="7">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IF(_xlfn.XLOOKUP(F330,customers!$B$1:$B$1001,customers!$C$1:$C$1001,,0)=0,"",_xlfn.XLOOKUP(F330,customers!$B$1:$B$1001,customers!$C$1:$C$1001,,0))</f>
        <v/>
      </c>
      <c r="H330" s="2" t="str">
        <f>_xlfn.XLOOKUP(C330,customers!$A$1:$A$1001,customers!$G$1:$G$1001,,0)</f>
        <v>United States</v>
      </c>
      <c r="I330" t="str">
        <f>_xlfn.XLOOKUP(D330,products!$A$1:$A$49,products!$B$1:$B$49,,0)</f>
        <v>Lib</v>
      </c>
      <c r="J330" t="str">
        <f>_xlfn.XLOOKUP(D330,products!$A$1:$A$49,products!$C$1:$C$49,,0)</f>
        <v>L</v>
      </c>
      <c r="K330" s="5">
        <f>_xlfn.XLOOKUP(D330,products!$A$1:$A$49,products!$D$1:$D$49,,0)</f>
        <v>0.5</v>
      </c>
      <c r="L330" s="7">
        <f>_xlfn.XLOOKUP(D330,products!$A$1:$A$49,products!$E$1:$E$49,,0)</f>
        <v>9.51</v>
      </c>
      <c r="M330" s="7">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IF(_xlfn.XLOOKUP(F331,customers!$B$1:$B$1001,customers!$C$1:$C$1001,,0)=0,"",_xlfn.XLOOKUP(F331,customers!$B$1:$B$1001,customers!$C$1:$C$1001,,0))</f>
        <v>lgoodger95@guardian.co.uk</v>
      </c>
      <c r="H331" s="2" t="str">
        <f>_xlfn.XLOOKUP(C331,customers!$A$1:$A$1001,customers!$G$1:$G$1001,,0)</f>
        <v>United States</v>
      </c>
      <c r="I331" t="str">
        <f>_xlfn.XLOOKUP(D331,products!$A$1:$A$49,products!$B$1:$B$49,,0)</f>
        <v>Rob</v>
      </c>
      <c r="J331" t="str">
        <f>_xlfn.XLOOKUP(D331,products!$A$1:$A$49,products!$C$1:$C$49,,0)</f>
        <v>D</v>
      </c>
      <c r="K331" s="5">
        <f>_xlfn.XLOOKUP(D331,products!$A$1:$A$49,products!$D$1:$D$49,,0)</f>
        <v>0.5</v>
      </c>
      <c r="L331" s="7">
        <f>_xlfn.XLOOKUP(D331,products!$A$1:$A$49,products!$E$1:$E$49,,0)</f>
        <v>5.3699999999999992</v>
      </c>
      <c r="M331" s="7">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IF(_xlfn.XLOOKUP(F332,customers!$B$1:$B$1001,customers!$C$1:$C$1001,,0)=0,"",_xlfn.XLOOKUP(F332,customers!$B$1:$B$1001,customers!$C$1:$C$1001,,0))</f>
        <v>smcmillian8t@csmonitor.com</v>
      </c>
      <c r="H332" s="2" t="str">
        <f>_xlfn.XLOOKUP(C332,customers!$A$1:$A$1001,customers!$G$1:$G$1001,,0)</f>
        <v>United States</v>
      </c>
      <c r="I332" t="str">
        <f>_xlfn.XLOOKUP(D332,products!$A$1:$A$49,products!$B$1:$B$49,,0)</f>
        <v>Rob</v>
      </c>
      <c r="J332" t="str">
        <f>_xlfn.XLOOKUP(D332,products!$A$1:$A$49,products!$C$1:$C$49,,0)</f>
        <v>D</v>
      </c>
      <c r="K332" s="5">
        <f>_xlfn.XLOOKUP(D332,products!$A$1:$A$49,products!$D$1:$D$49,,0)</f>
        <v>0.5</v>
      </c>
      <c r="L332" s="7">
        <f>_xlfn.XLOOKUP(D332,products!$A$1:$A$49,products!$E$1:$E$49,,0)</f>
        <v>5.3699999999999992</v>
      </c>
      <c r="M332" s="7">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IF(_xlfn.XLOOKUP(F333,customers!$B$1:$B$1001,customers!$C$1:$C$1001,,0)=0,"",_xlfn.XLOOKUP(F333,customers!$B$1:$B$1001,customers!$C$1:$C$1001,,0))</f>
        <v>cdrewett97@wikipedia.org</v>
      </c>
      <c r="H333" s="2" t="str">
        <f>_xlfn.XLOOKUP(C333,customers!$A$1:$A$1001,customers!$G$1:$G$1001,,0)</f>
        <v>United States</v>
      </c>
      <c r="I333" t="str">
        <f>_xlfn.XLOOKUP(D333,products!$A$1:$A$49,products!$B$1:$B$49,,0)</f>
        <v>Rob</v>
      </c>
      <c r="J333" t="str">
        <f>_xlfn.XLOOKUP(D333,products!$A$1:$A$49,products!$C$1:$C$49,,0)</f>
        <v>M</v>
      </c>
      <c r="K333" s="5">
        <f>_xlfn.XLOOKUP(D333,products!$A$1:$A$49,products!$D$1:$D$49,,0)</f>
        <v>2.5</v>
      </c>
      <c r="L333" s="7">
        <f>_xlfn.XLOOKUP(D333,products!$A$1:$A$49,products!$E$1:$E$49,,0)</f>
        <v>22.884999999999998</v>
      </c>
      <c r="M333" s="7">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IF(_xlfn.XLOOKUP(F334,customers!$B$1:$B$1001,customers!$C$1:$C$1001,,0)=0,"",_xlfn.XLOOKUP(F334,customers!$B$1:$B$1001,customers!$C$1:$C$1001,,0))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5">
        <f>_xlfn.XLOOKUP(D334,products!$A$1:$A$49,products!$D$1:$D$49,,0)</f>
        <v>0.5</v>
      </c>
      <c r="L334" s="7">
        <f>_xlfn.XLOOKUP(D334,products!$A$1:$A$49,products!$E$1:$E$49,,0)</f>
        <v>5.97</v>
      </c>
      <c r="M334" s="7">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IF(_xlfn.XLOOKUP(F335,customers!$B$1:$B$1001,customers!$C$1:$C$1001,,0)=0,"",_xlfn.XLOOKUP(F335,customers!$B$1:$B$1001,customers!$C$1:$C$1001,,0))</f>
        <v>vceely99@auda.org.au</v>
      </c>
      <c r="H335" s="2" t="str">
        <f>_xlfn.XLOOKUP(C335,customers!$A$1:$A$1001,customers!$G$1:$G$1001,,0)</f>
        <v>United States</v>
      </c>
      <c r="I335" t="str">
        <f>_xlfn.XLOOKUP(D335,products!$A$1:$A$49,products!$B$1:$B$49,,0)</f>
        <v>Rob</v>
      </c>
      <c r="J335" t="str">
        <f>_xlfn.XLOOKUP(D335,products!$A$1:$A$49,products!$C$1:$C$49,,0)</f>
        <v>M</v>
      </c>
      <c r="K335" s="5">
        <f>_xlfn.XLOOKUP(D335,products!$A$1:$A$49,products!$D$1:$D$49,,0)</f>
        <v>0.5</v>
      </c>
      <c r="L335" s="7">
        <f>_xlfn.XLOOKUP(D335,products!$A$1:$A$49,products!$E$1:$E$49,,0)</f>
        <v>5.97</v>
      </c>
      <c r="M335" s="7">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IF(_xlfn.XLOOKUP(F336,customers!$B$1:$B$1001,customers!$C$1:$C$1001,,0)=0,"",_xlfn.XLOOKUP(F336,customers!$B$1:$B$1001,customers!$C$1:$C$1001,,0))</f>
        <v/>
      </c>
      <c r="H336" s="2" t="str">
        <f>_xlfn.XLOOKUP(C336,customers!$A$1:$A$1001,customers!$G$1:$G$1001,,0)</f>
        <v>United States</v>
      </c>
      <c r="I336" t="str">
        <f>_xlfn.XLOOKUP(D336,products!$A$1:$A$49,products!$B$1:$B$49,,0)</f>
        <v>Rob</v>
      </c>
      <c r="J336" t="str">
        <f>_xlfn.XLOOKUP(D336,products!$A$1:$A$49,products!$C$1:$C$49,,0)</f>
        <v>L</v>
      </c>
      <c r="K336" s="5">
        <f>_xlfn.XLOOKUP(D336,products!$A$1:$A$49,products!$D$1:$D$49,,0)</f>
        <v>1</v>
      </c>
      <c r="L336" s="7">
        <f>_xlfn.XLOOKUP(D336,products!$A$1:$A$49,products!$E$1:$E$49,,0)</f>
        <v>11.95</v>
      </c>
      <c r="M336" s="7">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IF(_xlfn.XLOOKUP(F337,customers!$B$1:$B$1001,customers!$C$1:$C$1001,,0)=0,"",_xlfn.XLOOKUP(F337,customers!$B$1:$B$1001,customers!$C$1:$C$1001,,0))</f>
        <v>cvasiliev9b@discuz.net</v>
      </c>
      <c r="H337" s="2" t="str">
        <f>_xlfn.XLOOKUP(C337,customers!$A$1:$A$1001,customers!$G$1:$G$1001,,0)</f>
        <v>United States</v>
      </c>
      <c r="I337" t="str">
        <f>_xlfn.XLOOKUP(D337,products!$A$1:$A$49,products!$B$1:$B$49,,0)</f>
        <v>Lib</v>
      </c>
      <c r="J337" t="str">
        <f>_xlfn.XLOOKUP(D337,products!$A$1:$A$49,products!$C$1:$C$49,,0)</f>
        <v>L</v>
      </c>
      <c r="K337" s="5">
        <f>_xlfn.XLOOKUP(D337,products!$A$1:$A$49,products!$D$1:$D$49,,0)</f>
        <v>0.2</v>
      </c>
      <c r="L337" s="7">
        <f>_xlfn.XLOOKUP(D337,products!$A$1:$A$49,products!$E$1:$E$49,,0)</f>
        <v>4.7549999999999999</v>
      </c>
      <c r="M337" s="7">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IF(_xlfn.XLOOKUP(F338,customers!$B$1:$B$1001,customers!$C$1:$C$1001,,0)=0,"",_xlfn.XLOOKUP(F338,customers!$B$1:$B$1001,customers!$C$1:$C$1001,,0))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5">
        <f>_xlfn.XLOOKUP(D338,products!$A$1:$A$49,products!$D$1:$D$49,,0)</f>
        <v>1</v>
      </c>
      <c r="L338" s="7">
        <f>_xlfn.XLOOKUP(D338,products!$A$1:$A$49,products!$E$1:$E$49,,0)</f>
        <v>11.25</v>
      </c>
      <c r="M338" s="7">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IF(_xlfn.XLOOKUP(F339,customers!$B$1:$B$1001,customers!$C$1:$C$1001,,0)=0,"",_xlfn.XLOOKUP(F339,customers!$B$1:$B$1001,customers!$C$1:$C$1001,,0))</f>
        <v/>
      </c>
      <c r="H339" s="2" t="str">
        <f>_xlfn.XLOOKUP(C339,customers!$A$1:$A$1001,customers!$G$1:$G$1001,,0)</f>
        <v>United States</v>
      </c>
      <c r="I339" t="str">
        <f>_xlfn.XLOOKUP(D339,products!$A$1:$A$49,products!$B$1:$B$49,,0)</f>
        <v>Exc</v>
      </c>
      <c r="J339" t="str">
        <f>_xlfn.XLOOKUP(D339,products!$A$1:$A$49,products!$C$1:$C$49,,0)</f>
        <v>D</v>
      </c>
      <c r="K339" s="5">
        <f>_xlfn.XLOOKUP(D339,products!$A$1:$A$49,products!$D$1:$D$49,,0)</f>
        <v>2.5</v>
      </c>
      <c r="L339" s="7">
        <f>_xlfn.XLOOKUP(D339,products!$A$1:$A$49,products!$E$1:$E$49,,0)</f>
        <v>27.945</v>
      </c>
      <c r="M339" s="7">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IF(_xlfn.XLOOKUP(F340,customers!$B$1:$B$1001,customers!$C$1:$C$1001,,0)=0,"",_xlfn.XLOOKUP(F340,customers!$B$1:$B$1001,customers!$C$1:$C$1001,,0))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5">
        <f>_xlfn.XLOOKUP(D340,products!$A$1:$A$49,products!$D$1:$D$49,,0)</f>
        <v>1</v>
      </c>
      <c r="L340" s="7">
        <f>_xlfn.XLOOKUP(D340,products!$A$1:$A$49,products!$E$1:$E$49,,0)</f>
        <v>14.85</v>
      </c>
      <c r="M340" s="7">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IF(_xlfn.XLOOKUP(F341,customers!$B$1:$B$1001,customers!$C$1:$C$1001,,0)=0,"",_xlfn.XLOOKUP(F341,customers!$B$1:$B$1001,customers!$C$1:$C$1001,,0))</f>
        <v>erasmus9f@techcrunch.com</v>
      </c>
      <c r="H341" s="2" t="str">
        <f>_xlfn.XLOOKUP(C341,customers!$A$1:$A$1001,customers!$G$1:$G$1001,,0)</f>
        <v>United States</v>
      </c>
      <c r="I341" t="str">
        <f>_xlfn.XLOOKUP(D341,products!$A$1:$A$49,products!$B$1:$B$49,,0)</f>
        <v>Exc</v>
      </c>
      <c r="J341" t="str">
        <f>_xlfn.XLOOKUP(D341,products!$A$1:$A$49,products!$C$1:$C$49,,0)</f>
        <v>D</v>
      </c>
      <c r="K341" s="5">
        <f>_xlfn.XLOOKUP(D341,products!$A$1:$A$49,products!$D$1:$D$49,,0)</f>
        <v>0.2</v>
      </c>
      <c r="L341" s="7">
        <f>_xlfn.XLOOKUP(D341,products!$A$1:$A$49,products!$E$1:$E$49,,0)</f>
        <v>3.645</v>
      </c>
      <c r="M341" s="7">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IF(_xlfn.XLOOKUP(F342,customers!$B$1:$B$1001,customers!$C$1:$C$1001,,0)=0,"",_xlfn.XLOOKUP(F342,customers!$B$1:$B$1001,customers!$C$1:$C$1001,,0))</f>
        <v>wgiorgioni9g@wikipedia.org</v>
      </c>
      <c r="H342" s="2" t="str">
        <f>_xlfn.XLOOKUP(C342,customers!$A$1:$A$1001,customers!$G$1:$G$1001,,0)</f>
        <v>United States</v>
      </c>
      <c r="I342" t="str">
        <f>_xlfn.XLOOKUP(D342,products!$A$1:$A$49,products!$B$1:$B$49,,0)</f>
        <v>Exc</v>
      </c>
      <c r="J342" t="str">
        <f>_xlfn.XLOOKUP(D342,products!$A$1:$A$49,products!$C$1:$C$49,,0)</f>
        <v>D</v>
      </c>
      <c r="K342" s="5">
        <f>_xlfn.XLOOKUP(D342,products!$A$1:$A$49,products!$D$1:$D$49,,0)</f>
        <v>0.5</v>
      </c>
      <c r="L342" s="7">
        <f>_xlfn.XLOOKUP(D342,products!$A$1:$A$49,products!$E$1:$E$49,,0)</f>
        <v>7.29</v>
      </c>
      <c r="M342" s="7">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IF(_xlfn.XLOOKUP(F343,customers!$B$1:$B$1001,customers!$C$1:$C$1001,,0)=0,"",_xlfn.XLOOKUP(F343,customers!$B$1:$B$1001,customers!$C$1:$C$1001,,0))</f>
        <v>lscargle9h@myspace.com</v>
      </c>
      <c r="H343" s="2" t="str">
        <f>_xlfn.XLOOKUP(C343,customers!$A$1:$A$1001,customers!$G$1:$G$1001,,0)</f>
        <v>United States</v>
      </c>
      <c r="I343" t="str">
        <f>_xlfn.XLOOKUP(D343,products!$A$1:$A$49,products!$B$1:$B$49,,0)</f>
        <v>Exc</v>
      </c>
      <c r="J343" t="str">
        <f>_xlfn.XLOOKUP(D343,products!$A$1:$A$49,products!$C$1:$C$49,,0)</f>
        <v>L</v>
      </c>
      <c r="K343" s="5">
        <f>_xlfn.XLOOKUP(D343,products!$A$1:$A$49,products!$D$1:$D$49,,0)</f>
        <v>0.5</v>
      </c>
      <c r="L343" s="7">
        <f>_xlfn.XLOOKUP(D343,products!$A$1:$A$49,products!$E$1:$E$49,,0)</f>
        <v>8.91</v>
      </c>
      <c r="M343" s="7">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IF(_xlfn.XLOOKUP(F344,customers!$B$1:$B$1001,customers!$C$1:$C$1001,,0)=0,"",_xlfn.XLOOKUP(F344,customers!$B$1:$B$1001,customers!$C$1:$C$1001,,0))</f>
        <v>lscargle9h@myspace.com</v>
      </c>
      <c r="H344" s="2" t="str">
        <f>_xlfn.XLOOKUP(C344,customers!$A$1:$A$1001,customers!$G$1:$G$1001,,0)</f>
        <v>United States</v>
      </c>
      <c r="I344" t="str">
        <f>_xlfn.XLOOKUP(D344,products!$A$1:$A$49,products!$B$1:$B$49,,0)</f>
        <v>Lib</v>
      </c>
      <c r="J344" t="str">
        <f>_xlfn.XLOOKUP(D344,products!$A$1:$A$49,products!$C$1:$C$49,,0)</f>
        <v>D</v>
      </c>
      <c r="K344" s="5">
        <f>_xlfn.XLOOKUP(D344,products!$A$1:$A$49,products!$D$1:$D$49,,0)</f>
        <v>0.5</v>
      </c>
      <c r="L344" s="7">
        <f>_xlfn.XLOOKUP(D344,products!$A$1:$A$49,products!$E$1:$E$49,,0)</f>
        <v>7.77</v>
      </c>
      <c r="M344" s="7">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IF(_xlfn.XLOOKUP(F345,customers!$B$1:$B$1001,customers!$C$1:$C$1001,,0)=0,"",_xlfn.XLOOKUP(F345,customers!$B$1:$B$1001,customers!$C$1:$C$1001,,0))</f>
        <v>nclimance9j@europa.eu</v>
      </c>
      <c r="H345" s="2" t="str">
        <f>_xlfn.XLOOKUP(C345,customers!$A$1:$A$1001,customers!$G$1:$G$1001,,0)</f>
        <v>United States</v>
      </c>
      <c r="I345" t="str">
        <f>_xlfn.XLOOKUP(D345,products!$A$1:$A$49,products!$B$1:$B$49,,0)</f>
        <v>Rob</v>
      </c>
      <c r="J345" t="str">
        <f>_xlfn.XLOOKUP(D345,products!$A$1:$A$49,products!$C$1:$C$49,,0)</f>
        <v>D</v>
      </c>
      <c r="K345" s="5">
        <f>_xlfn.XLOOKUP(D345,products!$A$1:$A$49,products!$D$1:$D$49,,0)</f>
        <v>0.5</v>
      </c>
      <c r="L345" s="7">
        <f>_xlfn.XLOOKUP(D345,products!$A$1:$A$49,products!$E$1:$E$49,,0)</f>
        <v>5.3699999999999992</v>
      </c>
      <c r="M345" s="7">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IF(_xlfn.XLOOKUP(F346,customers!$B$1:$B$1001,customers!$C$1:$C$1001,,0)=0,"",_xlfn.XLOOKUP(F346,customers!$B$1:$B$1001,customers!$C$1:$C$1001,,0))</f>
        <v/>
      </c>
      <c r="H346" s="2" t="str">
        <f>_xlfn.XLOOKUP(C346,customers!$A$1:$A$1001,customers!$G$1:$G$1001,,0)</f>
        <v>Ireland</v>
      </c>
      <c r="I346" t="str">
        <f>_xlfn.XLOOKUP(D346,products!$A$1:$A$49,products!$B$1:$B$49,,0)</f>
        <v>Rob</v>
      </c>
      <c r="J346" t="str">
        <f>_xlfn.XLOOKUP(D346,products!$A$1:$A$49,products!$C$1:$C$49,,0)</f>
        <v>M</v>
      </c>
      <c r="K346" s="5">
        <f>_xlfn.XLOOKUP(D346,products!$A$1:$A$49,products!$D$1:$D$49,,0)</f>
        <v>1</v>
      </c>
      <c r="L346" s="7">
        <f>_xlfn.XLOOKUP(D346,products!$A$1:$A$49,products!$E$1:$E$49,,0)</f>
        <v>9.9499999999999993</v>
      </c>
      <c r="M346" s="7">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IF(_xlfn.XLOOKUP(F347,customers!$B$1:$B$1001,customers!$C$1:$C$1001,,0)=0,"",_xlfn.XLOOKUP(F347,customers!$B$1:$B$1001,customers!$C$1:$C$1001,,0))</f>
        <v>asnazle9l@oracle.com</v>
      </c>
      <c r="H347" s="2" t="str">
        <f>_xlfn.XLOOKUP(C347,customers!$A$1:$A$1001,customers!$G$1:$G$1001,,0)</f>
        <v>United States</v>
      </c>
      <c r="I347" t="str">
        <f>_xlfn.XLOOKUP(D347,products!$A$1:$A$49,products!$B$1:$B$49,,0)</f>
        <v>Rob</v>
      </c>
      <c r="J347" t="str">
        <f>_xlfn.XLOOKUP(D347,products!$A$1:$A$49,products!$C$1:$C$49,,0)</f>
        <v>L</v>
      </c>
      <c r="K347" s="5">
        <f>_xlfn.XLOOKUP(D347,products!$A$1:$A$49,products!$D$1:$D$49,,0)</f>
        <v>1</v>
      </c>
      <c r="L347" s="7">
        <f>_xlfn.XLOOKUP(D347,products!$A$1:$A$49,products!$E$1:$E$49,,0)</f>
        <v>11.95</v>
      </c>
      <c r="M347" s="7">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IF(_xlfn.XLOOKUP(F348,customers!$B$1:$B$1001,customers!$C$1:$C$1001,,0)=0,"",_xlfn.XLOOKUP(F348,customers!$B$1:$B$1001,customers!$C$1:$C$1001,,0))</f>
        <v>rworg9m@arstechnica.com</v>
      </c>
      <c r="H348" s="2" t="str">
        <f>_xlfn.XLOOKUP(C348,customers!$A$1:$A$1001,customers!$G$1:$G$1001,,0)</f>
        <v>United States</v>
      </c>
      <c r="I348" t="str">
        <f>_xlfn.XLOOKUP(D348,products!$A$1:$A$49,products!$B$1:$B$49,,0)</f>
        <v>Ara</v>
      </c>
      <c r="J348" t="str">
        <f>_xlfn.XLOOKUP(D348,products!$A$1:$A$49,products!$C$1:$C$49,,0)</f>
        <v>L</v>
      </c>
      <c r="K348" s="5">
        <f>_xlfn.XLOOKUP(D348,products!$A$1:$A$49,products!$D$1:$D$49,,0)</f>
        <v>0.5</v>
      </c>
      <c r="L348" s="7">
        <f>_xlfn.XLOOKUP(D348,products!$A$1:$A$49,products!$E$1:$E$49,,0)</f>
        <v>7.77</v>
      </c>
      <c r="M348" s="7">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IF(_xlfn.XLOOKUP(F349,customers!$B$1:$B$1001,customers!$C$1:$C$1001,,0)=0,"",_xlfn.XLOOKUP(F349,customers!$B$1:$B$1001,customers!$C$1:$C$1001,,0))</f>
        <v>ldanes9n@umn.edu</v>
      </c>
      <c r="H349" s="2" t="str">
        <f>_xlfn.XLOOKUP(C349,customers!$A$1:$A$1001,customers!$G$1:$G$1001,,0)</f>
        <v>United States</v>
      </c>
      <c r="I349" t="str">
        <f>_xlfn.XLOOKUP(D349,products!$A$1:$A$49,products!$B$1:$B$49,,0)</f>
        <v>Lib</v>
      </c>
      <c r="J349" t="str">
        <f>_xlfn.XLOOKUP(D349,products!$A$1:$A$49,products!$C$1:$C$49,,0)</f>
        <v>M</v>
      </c>
      <c r="K349" s="5">
        <f>_xlfn.XLOOKUP(D349,products!$A$1:$A$49,products!$D$1:$D$49,,0)</f>
        <v>1</v>
      </c>
      <c r="L349" s="7">
        <f>_xlfn.XLOOKUP(D349,products!$A$1:$A$49,products!$E$1:$E$49,,0)</f>
        <v>14.55</v>
      </c>
      <c r="M349" s="7">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IF(_xlfn.XLOOKUP(F350,customers!$B$1:$B$1001,customers!$C$1:$C$1001,,0)=0,"",_xlfn.XLOOKUP(F350,customers!$B$1:$B$1001,customers!$C$1:$C$1001,,0))</f>
        <v>skeynd9o@narod.ru</v>
      </c>
      <c r="H350" s="2" t="str">
        <f>_xlfn.XLOOKUP(C350,customers!$A$1:$A$1001,customers!$G$1:$G$1001,,0)</f>
        <v>United States</v>
      </c>
      <c r="I350" t="str">
        <f>_xlfn.XLOOKUP(D350,products!$A$1:$A$49,products!$B$1:$B$49,,0)</f>
        <v>Exc</v>
      </c>
      <c r="J350" t="str">
        <f>_xlfn.XLOOKUP(D350,products!$A$1:$A$49,products!$C$1:$C$49,,0)</f>
        <v>L</v>
      </c>
      <c r="K350" s="5">
        <f>_xlfn.XLOOKUP(D350,products!$A$1:$A$49,products!$D$1:$D$49,,0)</f>
        <v>2.5</v>
      </c>
      <c r="L350" s="7">
        <f>_xlfn.XLOOKUP(D350,products!$A$1:$A$49,products!$E$1:$E$49,,0)</f>
        <v>34.154999999999994</v>
      </c>
      <c r="M350" s="7">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IF(_xlfn.XLOOKUP(F351,customers!$B$1:$B$1001,customers!$C$1:$C$1001,,0)=0,"",_xlfn.XLOOKUP(F351,customers!$B$1:$B$1001,customers!$C$1:$C$1001,,0))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5">
        <f>_xlfn.XLOOKUP(D351,products!$A$1:$A$49,products!$D$1:$D$49,,0)</f>
        <v>0.2</v>
      </c>
      <c r="L351" s="7">
        <f>_xlfn.XLOOKUP(D351,products!$A$1:$A$49,products!$E$1:$E$49,,0)</f>
        <v>3.5849999999999995</v>
      </c>
      <c r="M351" s="7">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IF(_xlfn.XLOOKUP(F352,customers!$B$1:$B$1001,customers!$C$1:$C$1001,,0)=0,"",_xlfn.XLOOKUP(F352,customers!$B$1:$B$1001,customers!$C$1:$C$1001,,0))</f>
        <v>jawdry9q@utexas.edu</v>
      </c>
      <c r="H352" s="2" t="str">
        <f>_xlfn.XLOOKUP(C352,customers!$A$1:$A$1001,customers!$G$1:$G$1001,,0)</f>
        <v>United States</v>
      </c>
      <c r="I352" t="str">
        <f>_xlfn.XLOOKUP(D352,products!$A$1:$A$49,products!$B$1:$B$49,,0)</f>
        <v>Ara</v>
      </c>
      <c r="J352" t="str">
        <f>_xlfn.XLOOKUP(D352,products!$A$1:$A$49,products!$C$1:$C$49,,0)</f>
        <v>D</v>
      </c>
      <c r="K352" s="5">
        <f>_xlfn.XLOOKUP(D352,products!$A$1:$A$49,products!$D$1:$D$49,,0)</f>
        <v>0.5</v>
      </c>
      <c r="L352" s="7">
        <f>_xlfn.XLOOKUP(D352,products!$A$1:$A$49,products!$E$1:$E$49,,0)</f>
        <v>5.97</v>
      </c>
      <c r="M352" s="7">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IF(_xlfn.XLOOKUP(F353,customers!$B$1:$B$1001,customers!$C$1:$C$1001,,0)=0,"",_xlfn.XLOOKUP(F353,customers!$B$1:$B$1001,customers!$C$1:$C$1001,,0))</f>
        <v>eryles9r@fastcompany.com</v>
      </c>
      <c r="H353" s="2" t="str">
        <f>_xlfn.XLOOKUP(C353,customers!$A$1:$A$1001,customers!$G$1:$G$1001,,0)</f>
        <v>United States</v>
      </c>
      <c r="I353" t="str">
        <f>_xlfn.XLOOKUP(D353,products!$A$1:$A$49,products!$B$1:$B$49,,0)</f>
        <v>Ara</v>
      </c>
      <c r="J353" t="str">
        <f>_xlfn.XLOOKUP(D353,products!$A$1:$A$49,products!$C$1:$C$49,,0)</f>
        <v>M</v>
      </c>
      <c r="K353" s="5">
        <f>_xlfn.XLOOKUP(D353,products!$A$1:$A$49,products!$D$1:$D$49,,0)</f>
        <v>1</v>
      </c>
      <c r="L353" s="7">
        <f>_xlfn.XLOOKUP(D353,products!$A$1:$A$49,products!$E$1:$E$49,,0)</f>
        <v>11.25</v>
      </c>
      <c r="M353" s="7">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IF(_xlfn.XLOOKUP(F354,customers!$B$1:$B$1001,customers!$C$1:$C$1001,,0)=0,"",_xlfn.XLOOKUP(F354,customers!$B$1:$B$1001,customers!$C$1:$C$1001,,0))</f>
        <v/>
      </c>
      <c r="H354" s="2" t="str">
        <f>_xlfn.XLOOKUP(C354,customers!$A$1:$A$1001,customers!$G$1:$G$1001,,0)</f>
        <v>United States</v>
      </c>
      <c r="I354" t="str">
        <f>_xlfn.XLOOKUP(D354,products!$A$1:$A$49,products!$B$1:$B$49,,0)</f>
        <v>Exc</v>
      </c>
      <c r="J354" t="str">
        <f>_xlfn.XLOOKUP(D354,products!$A$1:$A$49,products!$C$1:$C$49,,0)</f>
        <v>D</v>
      </c>
      <c r="K354" s="5">
        <f>_xlfn.XLOOKUP(D354,products!$A$1:$A$49,products!$D$1:$D$49,,0)</f>
        <v>0.5</v>
      </c>
      <c r="L354" s="7">
        <f>_xlfn.XLOOKUP(D354,products!$A$1:$A$49,products!$E$1:$E$49,,0)</f>
        <v>7.29</v>
      </c>
      <c r="M354" s="7">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IF(_xlfn.XLOOKUP(F355,customers!$B$1:$B$1001,customers!$C$1:$C$1001,,0)=0,"",_xlfn.XLOOKUP(F355,customers!$B$1:$B$1001,customers!$C$1:$C$1001,,0))</f>
        <v/>
      </c>
      <c r="H355" s="2" t="str">
        <f>_xlfn.XLOOKUP(C355,customers!$A$1:$A$1001,customers!$G$1:$G$1001,,0)</f>
        <v>United States</v>
      </c>
      <c r="I355" t="str">
        <f>_xlfn.XLOOKUP(D355,products!$A$1:$A$49,products!$B$1:$B$49,,0)</f>
        <v>Ara</v>
      </c>
      <c r="J355" t="str">
        <f>_xlfn.XLOOKUP(D355,products!$A$1:$A$49,products!$C$1:$C$49,,0)</f>
        <v>M</v>
      </c>
      <c r="K355" s="5">
        <f>_xlfn.XLOOKUP(D355,products!$A$1:$A$49,products!$D$1:$D$49,,0)</f>
        <v>0.5</v>
      </c>
      <c r="L355" s="7">
        <f>_xlfn.XLOOKUP(D355,products!$A$1:$A$49,products!$E$1:$E$49,,0)</f>
        <v>6.75</v>
      </c>
      <c r="M355" s="7">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IF(_xlfn.XLOOKUP(F356,customers!$B$1:$B$1001,customers!$C$1:$C$1001,,0)=0,"",_xlfn.XLOOKUP(F356,customers!$B$1:$B$1001,customers!$C$1:$C$1001,,0))</f>
        <v>jcaldicott9u@usda.gov</v>
      </c>
      <c r="H356" s="2" t="str">
        <f>_xlfn.XLOOKUP(C356,customers!$A$1:$A$1001,customers!$G$1:$G$1001,,0)</f>
        <v>United States</v>
      </c>
      <c r="I356" t="str">
        <f>_xlfn.XLOOKUP(D356,products!$A$1:$A$49,products!$B$1:$B$49,,0)</f>
        <v>Ara</v>
      </c>
      <c r="J356" t="str">
        <f>_xlfn.XLOOKUP(D356,products!$A$1:$A$49,products!$C$1:$C$49,,0)</f>
        <v>M</v>
      </c>
      <c r="K356" s="5">
        <f>_xlfn.XLOOKUP(D356,products!$A$1:$A$49,products!$D$1:$D$49,,0)</f>
        <v>2.5</v>
      </c>
      <c r="L356" s="7">
        <f>_xlfn.XLOOKUP(D356,products!$A$1:$A$49,products!$E$1:$E$49,,0)</f>
        <v>25.874999999999996</v>
      </c>
      <c r="M356" s="7">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IF(_xlfn.XLOOKUP(F357,customers!$B$1:$B$1001,customers!$C$1:$C$1001,,0)=0,"",_xlfn.XLOOKUP(F357,customers!$B$1:$B$1001,customers!$C$1:$C$1001,,0))</f>
        <v>mvedmore9v@a8.net</v>
      </c>
      <c r="H357" s="2" t="str">
        <f>_xlfn.XLOOKUP(C357,customers!$A$1:$A$1001,customers!$G$1:$G$1001,,0)</f>
        <v>United States</v>
      </c>
      <c r="I357" t="str">
        <f>_xlfn.XLOOKUP(D357,products!$A$1:$A$49,products!$B$1:$B$49,,0)</f>
        <v>Ara</v>
      </c>
      <c r="J357" t="str">
        <f>_xlfn.XLOOKUP(D357,products!$A$1:$A$49,products!$C$1:$C$49,,0)</f>
        <v>D</v>
      </c>
      <c r="K357" s="5">
        <f>_xlfn.XLOOKUP(D357,products!$A$1:$A$49,products!$D$1:$D$49,,0)</f>
        <v>2.5</v>
      </c>
      <c r="L357" s="7">
        <f>_xlfn.XLOOKUP(D357,products!$A$1:$A$49,products!$E$1:$E$49,,0)</f>
        <v>22.884999999999998</v>
      </c>
      <c r="M357" s="7">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IF(_xlfn.XLOOKUP(F358,customers!$B$1:$B$1001,customers!$C$1:$C$1001,,0)=0,"",_xlfn.XLOOKUP(F358,customers!$B$1:$B$1001,customers!$C$1:$C$1001,,0))</f>
        <v>wromao9w@chronoengine.com</v>
      </c>
      <c r="H358" s="2" t="str">
        <f>_xlfn.XLOOKUP(C358,customers!$A$1:$A$1001,customers!$G$1:$G$1001,,0)</f>
        <v>United States</v>
      </c>
      <c r="I358" t="str">
        <f>_xlfn.XLOOKUP(D358,products!$A$1:$A$49,products!$B$1:$B$49,,0)</f>
        <v>Lib</v>
      </c>
      <c r="J358" t="str">
        <f>_xlfn.XLOOKUP(D358,products!$A$1:$A$49,products!$C$1:$C$49,,0)</f>
        <v>D</v>
      </c>
      <c r="K358" s="5">
        <f>_xlfn.XLOOKUP(D358,products!$A$1:$A$49,products!$D$1:$D$49,,0)</f>
        <v>1</v>
      </c>
      <c r="L358" s="7">
        <f>_xlfn.XLOOKUP(D358,products!$A$1:$A$49,products!$E$1:$E$49,,0)</f>
        <v>12.95</v>
      </c>
      <c r="M358" s="7">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IF(_xlfn.XLOOKUP(F359,customers!$B$1:$B$1001,customers!$C$1:$C$1001,,0)=0,"",_xlfn.XLOOKUP(F359,customers!$B$1:$B$1001,customers!$C$1:$C$1001,,0))</f>
        <v/>
      </c>
      <c r="H359" s="2" t="str">
        <f>_xlfn.XLOOKUP(C359,customers!$A$1:$A$1001,customers!$G$1:$G$1001,,0)</f>
        <v>United States</v>
      </c>
      <c r="I359" t="str">
        <f>_xlfn.XLOOKUP(D359,products!$A$1:$A$49,products!$B$1:$B$49,,0)</f>
        <v>Ara</v>
      </c>
      <c r="J359" t="str">
        <f>_xlfn.XLOOKUP(D359,products!$A$1:$A$49,products!$C$1:$C$49,,0)</f>
        <v>M</v>
      </c>
      <c r="K359" s="5">
        <f>_xlfn.XLOOKUP(D359,products!$A$1:$A$49,products!$D$1:$D$49,,0)</f>
        <v>2.5</v>
      </c>
      <c r="L359" s="7">
        <f>_xlfn.XLOOKUP(D359,products!$A$1:$A$49,products!$E$1:$E$49,,0)</f>
        <v>25.874999999999996</v>
      </c>
      <c r="M359" s="7">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IF(_xlfn.XLOOKUP(F360,customers!$B$1:$B$1001,customers!$C$1:$C$1001,,0)=0,"",_xlfn.XLOOKUP(F360,customers!$B$1:$B$1001,customers!$C$1:$C$1001,,0))</f>
        <v>tcotmore9y@amazonaws.com</v>
      </c>
      <c r="H360" s="2" t="str">
        <f>_xlfn.XLOOKUP(C360,customers!$A$1:$A$1001,customers!$G$1:$G$1001,,0)</f>
        <v>United States</v>
      </c>
      <c r="I360" t="str">
        <f>_xlfn.XLOOKUP(D360,products!$A$1:$A$49,products!$B$1:$B$49,,0)</f>
        <v>Ara</v>
      </c>
      <c r="J360" t="str">
        <f>_xlfn.XLOOKUP(D360,products!$A$1:$A$49,products!$C$1:$C$49,,0)</f>
        <v>L</v>
      </c>
      <c r="K360" s="5">
        <f>_xlfn.XLOOKUP(D360,products!$A$1:$A$49,products!$D$1:$D$49,,0)</f>
        <v>2.5</v>
      </c>
      <c r="L360" s="7">
        <f>_xlfn.XLOOKUP(D360,products!$A$1:$A$49,products!$E$1:$E$49,,0)</f>
        <v>29.784999999999997</v>
      </c>
      <c r="M360" s="7">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IF(_xlfn.XLOOKUP(F361,customers!$B$1:$B$1001,customers!$C$1:$C$1001,,0)=0,"",_xlfn.XLOOKUP(F361,customers!$B$1:$B$1001,customers!$C$1:$C$1001,,0))</f>
        <v>yskipsey9z@spotify.com</v>
      </c>
      <c r="H361" s="2" t="str">
        <f>_xlfn.XLOOKUP(C361,customers!$A$1:$A$1001,customers!$G$1:$G$1001,,0)</f>
        <v>United Kingdom</v>
      </c>
      <c r="I361" t="str">
        <f>_xlfn.XLOOKUP(D361,products!$A$1:$A$49,products!$B$1:$B$49,,0)</f>
        <v>Rob</v>
      </c>
      <c r="J361" t="str">
        <f>_xlfn.XLOOKUP(D361,products!$A$1:$A$49,products!$C$1:$C$49,,0)</f>
        <v>L</v>
      </c>
      <c r="K361" s="5">
        <f>_xlfn.XLOOKUP(D361,products!$A$1:$A$49,products!$D$1:$D$49,,0)</f>
        <v>0.2</v>
      </c>
      <c r="L361" s="7">
        <f>_xlfn.XLOOKUP(D361,products!$A$1:$A$49,products!$E$1:$E$49,,0)</f>
        <v>3.5849999999999995</v>
      </c>
      <c r="M361" s="7">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IF(_xlfn.XLOOKUP(F362,customers!$B$1:$B$1001,customers!$C$1:$C$1001,,0)=0,"",_xlfn.XLOOKUP(F362,customers!$B$1:$B$1001,customers!$C$1:$C$1001,,0))</f>
        <v>ncorpsa0@gmpg.org</v>
      </c>
      <c r="H362" s="2" t="str">
        <f>_xlfn.XLOOKUP(C362,customers!$A$1:$A$1001,customers!$G$1:$G$1001,,0)</f>
        <v>United States</v>
      </c>
      <c r="I362" t="str">
        <f>_xlfn.XLOOKUP(D362,products!$A$1:$A$49,products!$B$1:$B$49,,0)</f>
        <v>Rob</v>
      </c>
      <c r="J362" t="str">
        <f>_xlfn.XLOOKUP(D362,products!$A$1:$A$49,products!$C$1:$C$49,,0)</f>
        <v>D</v>
      </c>
      <c r="K362" s="5">
        <f>_xlfn.XLOOKUP(D362,products!$A$1:$A$49,products!$D$1:$D$49,,0)</f>
        <v>2.5</v>
      </c>
      <c r="L362" s="7">
        <f>_xlfn.XLOOKUP(D362,products!$A$1:$A$49,products!$E$1:$E$49,,0)</f>
        <v>20.584999999999997</v>
      </c>
      <c r="M362" s="7">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IF(_xlfn.XLOOKUP(F363,customers!$B$1:$B$1001,customers!$C$1:$C$1001,,0)=0,"",_xlfn.XLOOKUP(F363,customers!$B$1:$B$1001,customers!$C$1:$C$1001,,0))</f>
        <v>ncorpsa0@gmpg.org</v>
      </c>
      <c r="H363" s="2" t="str">
        <f>_xlfn.XLOOKUP(C363,customers!$A$1:$A$1001,customers!$G$1:$G$1001,,0)</f>
        <v>United States</v>
      </c>
      <c r="I363" t="str">
        <f>_xlfn.XLOOKUP(D363,products!$A$1:$A$49,products!$B$1:$B$49,,0)</f>
        <v>Rob</v>
      </c>
      <c r="J363" t="str">
        <f>_xlfn.XLOOKUP(D363,products!$A$1:$A$49,products!$C$1:$C$49,,0)</f>
        <v>M</v>
      </c>
      <c r="K363" s="5">
        <f>_xlfn.XLOOKUP(D363,products!$A$1:$A$49,products!$D$1:$D$49,,0)</f>
        <v>0.5</v>
      </c>
      <c r="L363" s="7">
        <f>_xlfn.XLOOKUP(D363,products!$A$1:$A$49,products!$E$1:$E$49,,0)</f>
        <v>5.97</v>
      </c>
      <c r="M363" s="7">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IF(_xlfn.XLOOKUP(F364,customers!$B$1:$B$1001,customers!$C$1:$C$1001,,0)=0,"",_xlfn.XLOOKUP(F364,customers!$B$1:$B$1001,customers!$C$1:$C$1001,,0))</f>
        <v>fbabbera2@stanford.edu</v>
      </c>
      <c r="H364" s="2" t="str">
        <f>_xlfn.XLOOKUP(C364,customers!$A$1:$A$1001,customers!$G$1:$G$1001,,0)</f>
        <v>United States</v>
      </c>
      <c r="I364" t="str">
        <f>_xlfn.XLOOKUP(D364,products!$A$1:$A$49,products!$B$1:$B$49,,0)</f>
        <v>Exc</v>
      </c>
      <c r="J364" t="str">
        <f>_xlfn.XLOOKUP(D364,products!$A$1:$A$49,products!$C$1:$C$49,,0)</f>
        <v>L</v>
      </c>
      <c r="K364" s="5">
        <f>_xlfn.XLOOKUP(D364,products!$A$1:$A$49,products!$D$1:$D$49,,0)</f>
        <v>1</v>
      </c>
      <c r="L364" s="7">
        <f>_xlfn.XLOOKUP(D364,products!$A$1:$A$49,products!$E$1:$E$49,,0)</f>
        <v>14.85</v>
      </c>
      <c r="M364" s="7">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IF(_xlfn.XLOOKUP(F365,customers!$B$1:$B$1001,customers!$C$1:$C$1001,,0)=0,"",_xlfn.XLOOKUP(F365,customers!$B$1:$B$1001,customers!$C$1:$C$1001,,0))</f>
        <v>kloxtona3@opensource.org</v>
      </c>
      <c r="H365" s="2" t="str">
        <f>_xlfn.XLOOKUP(C365,customers!$A$1:$A$1001,customers!$G$1:$G$1001,,0)</f>
        <v>United States</v>
      </c>
      <c r="I365" t="str">
        <f>_xlfn.XLOOKUP(D365,products!$A$1:$A$49,products!$B$1:$B$49,,0)</f>
        <v>Lib</v>
      </c>
      <c r="J365" t="str">
        <f>_xlfn.XLOOKUP(D365,products!$A$1:$A$49,products!$C$1:$C$49,,0)</f>
        <v>M</v>
      </c>
      <c r="K365" s="5">
        <f>_xlfn.XLOOKUP(D365,products!$A$1:$A$49,products!$D$1:$D$49,,0)</f>
        <v>1</v>
      </c>
      <c r="L365" s="7">
        <f>_xlfn.XLOOKUP(D365,products!$A$1:$A$49,products!$E$1:$E$49,,0)</f>
        <v>14.55</v>
      </c>
      <c r="M365" s="7">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IF(_xlfn.XLOOKUP(F366,customers!$B$1:$B$1001,customers!$C$1:$C$1001,,0)=0,"",_xlfn.XLOOKUP(F366,customers!$B$1:$B$1001,customers!$C$1:$C$1001,,0))</f>
        <v>ptoffula4@posterous.com</v>
      </c>
      <c r="H366" s="2" t="str">
        <f>_xlfn.XLOOKUP(C366,customers!$A$1:$A$1001,customers!$G$1:$G$1001,,0)</f>
        <v>United States</v>
      </c>
      <c r="I366" t="str">
        <f>_xlfn.XLOOKUP(D366,products!$A$1:$A$49,products!$B$1:$B$49,,0)</f>
        <v>Exc</v>
      </c>
      <c r="J366" t="str">
        <f>_xlfn.XLOOKUP(D366,products!$A$1:$A$49,products!$C$1:$C$49,,0)</f>
        <v>D</v>
      </c>
      <c r="K366" s="5">
        <f>_xlfn.XLOOKUP(D366,products!$A$1:$A$49,products!$D$1:$D$49,,0)</f>
        <v>1</v>
      </c>
      <c r="L366" s="7">
        <f>_xlfn.XLOOKUP(D366,products!$A$1:$A$49,products!$E$1:$E$49,,0)</f>
        <v>12.15</v>
      </c>
      <c r="M366" s="7">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IF(_xlfn.XLOOKUP(F367,customers!$B$1:$B$1001,customers!$C$1:$C$1001,,0)=0,"",_xlfn.XLOOKUP(F367,customers!$B$1:$B$1001,customers!$C$1:$C$1001,,0))</f>
        <v>cgwinnetta5@behance.net</v>
      </c>
      <c r="H367" s="2" t="str">
        <f>_xlfn.XLOOKUP(C367,customers!$A$1:$A$1001,customers!$G$1:$G$1001,,0)</f>
        <v>United States</v>
      </c>
      <c r="I367" t="str">
        <f>_xlfn.XLOOKUP(D367,products!$A$1:$A$49,products!$B$1:$B$49,,0)</f>
        <v>Lib</v>
      </c>
      <c r="J367" t="str">
        <f>_xlfn.XLOOKUP(D367,products!$A$1:$A$49,products!$C$1:$C$49,,0)</f>
        <v>D</v>
      </c>
      <c r="K367" s="5">
        <f>_xlfn.XLOOKUP(D367,products!$A$1:$A$49,products!$D$1:$D$49,,0)</f>
        <v>0.5</v>
      </c>
      <c r="L367" s="7">
        <f>_xlfn.XLOOKUP(D367,products!$A$1:$A$49,products!$E$1:$E$49,,0)</f>
        <v>7.77</v>
      </c>
      <c r="M367" s="7">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IF(_xlfn.XLOOKUP(F368,customers!$B$1:$B$1001,customers!$C$1:$C$1001,,0)=0,"",_xlfn.XLOOKUP(F368,customers!$B$1:$B$1001,customers!$C$1:$C$1001,,0))</f>
        <v/>
      </c>
      <c r="H368" s="2" t="str">
        <f>_xlfn.XLOOKUP(C368,customers!$A$1:$A$1001,customers!$G$1:$G$1001,,0)</f>
        <v>United States</v>
      </c>
      <c r="I368" t="str">
        <f>_xlfn.XLOOKUP(D368,products!$A$1:$A$49,products!$B$1:$B$49,,0)</f>
        <v>Exc</v>
      </c>
      <c r="J368" t="str">
        <f>_xlfn.XLOOKUP(D368,products!$A$1:$A$49,products!$C$1:$C$49,,0)</f>
        <v>D</v>
      </c>
      <c r="K368" s="5">
        <f>_xlfn.XLOOKUP(D368,products!$A$1:$A$49,products!$D$1:$D$49,,0)</f>
        <v>0.5</v>
      </c>
      <c r="L368" s="7">
        <f>_xlfn.XLOOKUP(D368,products!$A$1:$A$49,products!$E$1:$E$49,,0)</f>
        <v>7.29</v>
      </c>
      <c r="M368" s="7">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IF(_xlfn.XLOOKUP(F369,customers!$B$1:$B$1001,customers!$C$1:$C$1001,,0)=0,"",_xlfn.XLOOKUP(F369,customers!$B$1:$B$1001,customers!$C$1:$C$1001,,0))</f>
        <v/>
      </c>
      <c r="H369" s="2" t="str">
        <f>_xlfn.XLOOKUP(C369,customers!$A$1:$A$1001,customers!$G$1:$G$1001,,0)</f>
        <v>United States</v>
      </c>
      <c r="I369" t="str">
        <f>_xlfn.XLOOKUP(D369,products!$A$1:$A$49,products!$B$1:$B$49,,0)</f>
        <v>Lib</v>
      </c>
      <c r="J369" t="str">
        <f>_xlfn.XLOOKUP(D369,products!$A$1:$A$49,products!$C$1:$C$49,,0)</f>
        <v>M</v>
      </c>
      <c r="K369" s="5">
        <f>_xlfn.XLOOKUP(D369,products!$A$1:$A$49,products!$D$1:$D$49,,0)</f>
        <v>0.2</v>
      </c>
      <c r="L369" s="7">
        <f>_xlfn.XLOOKUP(D369,products!$A$1:$A$49,products!$E$1:$E$49,,0)</f>
        <v>4.3650000000000002</v>
      </c>
      <c r="M369" s="7">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IF(_xlfn.XLOOKUP(F370,customers!$B$1:$B$1001,customers!$C$1:$C$1001,,0)=0,"",_xlfn.XLOOKUP(F370,customers!$B$1:$B$1001,customers!$C$1:$C$1001,,0))</f>
        <v>lflaoniera8@wordpress.org</v>
      </c>
      <c r="H370" s="2" t="str">
        <f>_xlfn.XLOOKUP(C370,customers!$A$1:$A$1001,customers!$G$1:$G$1001,,0)</f>
        <v>United States</v>
      </c>
      <c r="I370" t="str">
        <f>_xlfn.XLOOKUP(D370,products!$A$1:$A$49,products!$B$1:$B$49,,0)</f>
        <v>Exc</v>
      </c>
      <c r="J370" t="str">
        <f>_xlfn.XLOOKUP(D370,products!$A$1:$A$49,products!$C$1:$C$49,,0)</f>
        <v>M</v>
      </c>
      <c r="K370" s="5">
        <f>_xlfn.XLOOKUP(D370,products!$A$1:$A$49,products!$D$1:$D$49,,0)</f>
        <v>2.5</v>
      </c>
      <c r="L370" s="7">
        <f>_xlfn.XLOOKUP(D370,products!$A$1:$A$49,products!$E$1:$E$49,,0)</f>
        <v>31.624999999999996</v>
      </c>
      <c r="M370" s="7">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IF(_xlfn.XLOOKUP(F371,customers!$B$1:$B$1001,customers!$C$1:$C$1001,,0)=0,"",_xlfn.XLOOKUP(F371,customers!$B$1:$B$1001,customers!$C$1:$C$1001,,0))</f>
        <v/>
      </c>
      <c r="H371" s="2" t="str">
        <f>_xlfn.XLOOKUP(C371,customers!$A$1:$A$1001,customers!$G$1:$G$1001,,0)</f>
        <v>United States</v>
      </c>
      <c r="I371" t="str">
        <f>_xlfn.XLOOKUP(D371,products!$A$1:$A$49,products!$B$1:$B$49,,0)</f>
        <v>Exc</v>
      </c>
      <c r="J371" t="str">
        <f>_xlfn.XLOOKUP(D371,products!$A$1:$A$49,products!$C$1:$C$49,,0)</f>
        <v>L</v>
      </c>
      <c r="K371" s="5">
        <f>_xlfn.XLOOKUP(D371,products!$A$1:$A$49,products!$D$1:$D$49,,0)</f>
        <v>0.5</v>
      </c>
      <c r="L371" s="7">
        <f>_xlfn.XLOOKUP(D371,products!$A$1:$A$49,products!$E$1:$E$49,,0)</f>
        <v>8.91</v>
      </c>
      <c r="M371" s="7">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IF(_xlfn.XLOOKUP(F372,customers!$B$1:$B$1001,customers!$C$1:$C$1001,,0)=0,"",_xlfn.XLOOKUP(F372,customers!$B$1:$B$1001,customers!$C$1:$C$1001,,0))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5">
        <f>_xlfn.XLOOKUP(D372,products!$A$1:$A$49,products!$D$1:$D$49,,0)</f>
        <v>1</v>
      </c>
      <c r="L372" s="7">
        <f>_xlfn.XLOOKUP(D372,products!$A$1:$A$49,products!$E$1:$E$49,,0)</f>
        <v>12.15</v>
      </c>
      <c r="M372" s="7">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IF(_xlfn.XLOOKUP(F373,customers!$B$1:$B$1001,customers!$C$1:$C$1001,,0)=0,"",_xlfn.XLOOKUP(F373,customers!$B$1:$B$1001,customers!$C$1:$C$1001,,0))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5">
        <f>_xlfn.XLOOKUP(D373,products!$A$1:$A$49,products!$D$1:$D$49,,0)</f>
        <v>0.5</v>
      </c>
      <c r="L373" s="7">
        <f>_xlfn.XLOOKUP(D373,products!$A$1:$A$49,products!$E$1:$E$49,,0)</f>
        <v>7.77</v>
      </c>
      <c r="M373" s="7">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IF(_xlfn.XLOOKUP(F374,customers!$B$1:$B$1001,customers!$C$1:$C$1001,,0)=0,"",_xlfn.XLOOKUP(F374,customers!$B$1:$B$1001,customers!$C$1:$C$1001,,0))</f>
        <v>tfarraac@behance.net</v>
      </c>
      <c r="H374" s="2" t="str">
        <f>_xlfn.XLOOKUP(C374,customers!$A$1:$A$1001,customers!$G$1:$G$1001,,0)</f>
        <v>United States</v>
      </c>
      <c r="I374" t="str">
        <f>_xlfn.XLOOKUP(D374,products!$A$1:$A$49,products!$B$1:$B$49,,0)</f>
        <v>Rob</v>
      </c>
      <c r="J374" t="str">
        <f>_xlfn.XLOOKUP(D374,products!$A$1:$A$49,products!$C$1:$C$49,,0)</f>
        <v>L</v>
      </c>
      <c r="K374" s="5">
        <f>_xlfn.XLOOKUP(D374,products!$A$1:$A$49,products!$D$1:$D$49,,0)</f>
        <v>0.5</v>
      </c>
      <c r="L374" s="7">
        <f>_xlfn.XLOOKUP(D374,products!$A$1:$A$49,products!$E$1:$E$49,,0)</f>
        <v>7.169999999999999</v>
      </c>
      <c r="M374" s="7">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IF(_xlfn.XLOOKUP(F375,customers!$B$1:$B$1001,customers!$C$1:$C$1001,,0)=0,"",_xlfn.XLOOKUP(F375,customers!$B$1:$B$1001,customers!$C$1:$C$1001,,0))</f>
        <v/>
      </c>
      <c r="H375" s="2" t="str">
        <f>_xlfn.XLOOKUP(C375,customers!$A$1:$A$1001,customers!$G$1:$G$1001,,0)</f>
        <v>Ireland</v>
      </c>
      <c r="I375" t="str">
        <f>_xlfn.XLOOKUP(D375,products!$A$1:$A$49,products!$B$1:$B$49,,0)</f>
        <v>Ara</v>
      </c>
      <c r="J375" t="str">
        <f>_xlfn.XLOOKUP(D375,products!$A$1:$A$49,products!$C$1:$C$49,,0)</f>
        <v>D</v>
      </c>
      <c r="K375" s="5">
        <f>_xlfn.XLOOKUP(D375,products!$A$1:$A$49,products!$D$1:$D$49,,0)</f>
        <v>0.5</v>
      </c>
      <c r="L375" s="7">
        <f>_xlfn.XLOOKUP(D375,products!$A$1:$A$49,products!$E$1:$E$49,,0)</f>
        <v>5.97</v>
      </c>
      <c r="M375" s="7">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IF(_xlfn.XLOOKUP(F376,customers!$B$1:$B$1001,customers!$C$1:$C$1001,,0)=0,"",_xlfn.XLOOKUP(F376,customers!$B$1:$B$1001,customers!$C$1:$C$1001,,0))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5">
        <f>_xlfn.XLOOKUP(D376,products!$A$1:$A$49,products!$D$1:$D$49,,0)</f>
        <v>0.5</v>
      </c>
      <c r="L376" s="7">
        <f>_xlfn.XLOOKUP(D376,products!$A$1:$A$49,products!$E$1:$E$49,,0)</f>
        <v>9.51</v>
      </c>
      <c r="M376" s="7">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IF(_xlfn.XLOOKUP(F377,customers!$B$1:$B$1001,customers!$C$1:$C$1001,,0)=0,"",_xlfn.XLOOKUP(F377,customers!$B$1:$B$1001,customers!$C$1:$C$1001,,0))</f>
        <v>whollingdaleaf@about.me</v>
      </c>
      <c r="H377" s="2" t="str">
        <f>_xlfn.XLOOKUP(C377,customers!$A$1:$A$1001,customers!$G$1:$G$1001,,0)</f>
        <v>United States</v>
      </c>
      <c r="I377" t="str">
        <f>_xlfn.XLOOKUP(D377,products!$A$1:$A$49,products!$B$1:$B$49,,0)</f>
        <v>Ara</v>
      </c>
      <c r="J377" t="str">
        <f>_xlfn.XLOOKUP(D377,products!$A$1:$A$49,products!$C$1:$C$49,,0)</f>
        <v>M</v>
      </c>
      <c r="K377" s="5">
        <f>_xlfn.XLOOKUP(D377,products!$A$1:$A$49,products!$D$1:$D$49,,0)</f>
        <v>0.2</v>
      </c>
      <c r="L377" s="7">
        <f>_xlfn.XLOOKUP(D377,products!$A$1:$A$49,products!$E$1:$E$49,,0)</f>
        <v>3.375</v>
      </c>
      <c r="M377" s="7">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IF(_xlfn.XLOOKUP(F378,customers!$B$1:$B$1001,customers!$C$1:$C$1001,,0)=0,"",_xlfn.XLOOKUP(F378,customers!$B$1:$B$1001,customers!$C$1:$C$1001,,0))</f>
        <v>jdeag@xrea.com</v>
      </c>
      <c r="H378" s="2" t="str">
        <f>_xlfn.XLOOKUP(C378,customers!$A$1:$A$1001,customers!$G$1:$G$1001,,0)</f>
        <v>United States</v>
      </c>
      <c r="I378" t="str">
        <f>_xlfn.XLOOKUP(D378,products!$A$1:$A$49,products!$B$1:$B$49,,0)</f>
        <v>Rob</v>
      </c>
      <c r="J378" t="str">
        <f>_xlfn.XLOOKUP(D378,products!$A$1:$A$49,products!$C$1:$C$49,,0)</f>
        <v>M</v>
      </c>
      <c r="K378" s="5">
        <f>_xlfn.XLOOKUP(D378,products!$A$1:$A$49,products!$D$1:$D$49,,0)</f>
        <v>0.5</v>
      </c>
      <c r="L378" s="7">
        <f>_xlfn.XLOOKUP(D378,products!$A$1:$A$49,products!$E$1:$E$49,,0)</f>
        <v>5.97</v>
      </c>
      <c r="M378" s="7">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IF(_xlfn.XLOOKUP(F379,customers!$B$1:$B$1001,customers!$C$1:$C$1001,,0)=0,"",_xlfn.XLOOKUP(F379,customers!$B$1:$B$1001,customers!$C$1:$C$1001,,0))</f>
        <v>vskulletah@tinyurl.com</v>
      </c>
      <c r="H379" s="2" t="str">
        <f>_xlfn.XLOOKUP(C379,customers!$A$1:$A$1001,customers!$G$1:$G$1001,,0)</f>
        <v>Ireland</v>
      </c>
      <c r="I379" t="str">
        <f>_xlfn.XLOOKUP(D379,products!$A$1:$A$49,products!$B$1:$B$49,,0)</f>
        <v>Rob</v>
      </c>
      <c r="J379" t="str">
        <f>_xlfn.XLOOKUP(D379,products!$A$1:$A$49,products!$C$1:$C$49,,0)</f>
        <v>D</v>
      </c>
      <c r="K379" s="5">
        <f>_xlfn.XLOOKUP(D379,products!$A$1:$A$49,products!$D$1:$D$49,,0)</f>
        <v>0.2</v>
      </c>
      <c r="L379" s="7">
        <f>_xlfn.XLOOKUP(D379,products!$A$1:$A$49,products!$E$1:$E$49,,0)</f>
        <v>2.6849999999999996</v>
      </c>
      <c r="M379" s="7">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IF(_xlfn.XLOOKUP(F380,customers!$B$1:$B$1001,customers!$C$1:$C$1001,,0)=0,"",_xlfn.XLOOKUP(F380,customers!$B$1:$B$1001,customers!$C$1:$C$1001,,0))</f>
        <v>jrudeforthai@wunderground.com</v>
      </c>
      <c r="H380" s="2" t="str">
        <f>_xlfn.XLOOKUP(C380,customers!$A$1:$A$1001,customers!$G$1:$G$1001,,0)</f>
        <v>Ireland</v>
      </c>
      <c r="I380" t="str">
        <f>_xlfn.XLOOKUP(D380,products!$A$1:$A$49,products!$B$1:$B$49,,0)</f>
        <v>Ara</v>
      </c>
      <c r="J380" t="str">
        <f>_xlfn.XLOOKUP(D380,products!$A$1:$A$49,products!$C$1:$C$49,,0)</f>
        <v>L</v>
      </c>
      <c r="K380" s="5">
        <f>_xlfn.XLOOKUP(D380,products!$A$1:$A$49,products!$D$1:$D$49,,0)</f>
        <v>0.5</v>
      </c>
      <c r="L380" s="7">
        <f>_xlfn.XLOOKUP(D380,products!$A$1:$A$49,products!$E$1:$E$49,,0)</f>
        <v>7.77</v>
      </c>
      <c r="M380" s="7">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IF(_xlfn.XLOOKUP(F381,customers!$B$1:$B$1001,customers!$C$1:$C$1001,,0)=0,"",_xlfn.XLOOKUP(F381,customers!$B$1:$B$1001,customers!$C$1:$C$1001,,0))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5">
        <f>_xlfn.XLOOKUP(D381,products!$A$1:$A$49,products!$D$1:$D$49,,0)</f>
        <v>0.5</v>
      </c>
      <c r="L381" s="7">
        <f>_xlfn.XLOOKUP(D381,products!$A$1:$A$49,products!$E$1:$E$49,,0)</f>
        <v>7.169999999999999</v>
      </c>
      <c r="M381" s="7">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IF(_xlfn.XLOOKUP(F382,customers!$B$1:$B$1001,customers!$C$1:$C$1001,,0)=0,"",_xlfn.XLOOKUP(F382,customers!$B$1:$B$1001,customers!$C$1:$C$1001,,0))</f>
        <v/>
      </c>
      <c r="H382" s="2" t="str">
        <f>_xlfn.XLOOKUP(C382,customers!$A$1:$A$1001,customers!$G$1:$G$1001,,0)</f>
        <v>United States</v>
      </c>
      <c r="I382" t="str">
        <f>_xlfn.XLOOKUP(D382,products!$A$1:$A$49,products!$B$1:$B$49,,0)</f>
        <v>Lib</v>
      </c>
      <c r="J382" t="str">
        <f>_xlfn.XLOOKUP(D382,products!$A$1:$A$49,products!$C$1:$C$49,,0)</f>
        <v>D</v>
      </c>
      <c r="K382" s="5">
        <f>_xlfn.XLOOKUP(D382,products!$A$1:$A$49,products!$D$1:$D$49,,0)</f>
        <v>0.5</v>
      </c>
      <c r="L382" s="7">
        <f>_xlfn.XLOOKUP(D382,products!$A$1:$A$49,products!$E$1:$E$49,,0)</f>
        <v>7.77</v>
      </c>
      <c r="M382" s="7">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IF(_xlfn.XLOOKUP(F383,customers!$B$1:$B$1001,customers!$C$1:$C$1001,,0)=0,"",_xlfn.XLOOKUP(F383,customers!$B$1:$B$1001,customers!$C$1:$C$1001,,0))</f>
        <v>pbessal@qq.com</v>
      </c>
      <c r="H383" s="2" t="str">
        <f>_xlfn.XLOOKUP(C383,customers!$A$1:$A$1001,customers!$G$1:$G$1001,,0)</f>
        <v>United States</v>
      </c>
      <c r="I383" t="str">
        <f>_xlfn.XLOOKUP(D383,products!$A$1:$A$49,products!$B$1:$B$49,,0)</f>
        <v>Ara</v>
      </c>
      <c r="J383" t="str">
        <f>_xlfn.XLOOKUP(D383,products!$A$1:$A$49,products!$C$1:$C$49,,0)</f>
        <v>D</v>
      </c>
      <c r="K383" s="5">
        <f>_xlfn.XLOOKUP(D383,products!$A$1:$A$49,products!$D$1:$D$49,,0)</f>
        <v>0.2</v>
      </c>
      <c r="L383" s="7">
        <f>_xlfn.XLOOKUP(D383,products!$A$1:$A$49,products!$E$1:$E$49,,0)</f>
        <v>2.9849999999999999</v>
      </c>
      <c r="M383" s="7">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IF(_xlfn.XLOOKUP(F384,customers!$B$1:$B$1001,customers!$C$1:$C$1001,,0)=0,"",_xlfn.XLOOKUP(F384,customers!$B$1:$B$1001,customers!$C$1:$C$1001,,0))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5">
        <f>_xlfn.XLOOKUP(D384,products!$A$1:$A$49,products!$D$1:$D$49,,0)</f>
        <v>0.5</v>
      </c>
      <c r="L384" s="7">
        <f>_xlfn.XLOOKUP(D384,products!$A$1:$A$49,products!$E$1:$E$49,,0)</f>
        <v>7.29</v>
      </c>
      <c r="M384" s="7">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IF(_xlfn.XLOOKUP(F385,customers!$B$1:$B$1001,customers!$C$1:$C$1001,,0)=0,"",_xlfn.XLOOKUP(F385,customers!$B$1:$B$1001,customers!$C$1:$C$1001,,0))</f>
        <v/>
      </c>
      <c r="H385" s="2" t="str">
        <f>_xlfn.XLOOKUP(C385,customers!$A$1:$A$1001,customers!$G$1:$G$1001,,0)</f>
        <v>United States</v>
      </c>
      <c r="I385" t="str">
        <f>_xlfn.XLOOKUP(D385,products!$A$1:$A$49,products!$B$1:$B$49,,0)</f>
        <v>Exc</v>
      </c>
      <c r="J385" t="str">
        <f>_xlfn.XLOOKUP(D385,products!$A$1:$A$49,products!$C$1:$C$49,,0)</f>
        <v>L</v>
      </c>
      <c r="K385" s="5">
        <f>_xlfn.XLOOKUP(D385,products!$A$1:$A$49,products!$D$1:$D$49,,0)</f>
        <v>0.5</v>
      </c>
      <c r="L385" s="7">
        <f>_xlfn.XLOOKUP(D385,products!$A$1:$A$49,products!$E$1:$E$49,,0)</f>
        <v>8.91</v>
      </c>
      <c r="M385" s="7">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IF(_xlfn.XLOOKUP(F386,customers!$B$1:$B$1001,customers!$C$1:$C$1001,,0)=0,"",_xlfn.XLOOKUP(F386,customers!$B$1:$B$1001,customers!$C$1:$C$1001,,0))</f>
        <v/>
      </c>
      <c r="H386" s="2" t="str">
        <f>_xlfn.XLOOKUP(C386,customers!$A$1:$A$1001,customers!$G$1:$G$1001,,0)</f>
        <v>United States</v>
      </c>
      <c r="I386" t="str">
        <f>_xlfn.XLOOKUP(D386,products!$A$1:$A$49,products!$B$1:$B$49,,0)</f>
        <v>Ara</v>
      </c>
      <c r="J386" t="str">
        <f>_xlfn.XLOOKUP(D386,products!$A$1:$A$49,products!$C$1:$C$49,,0)</f>
        <v>L</v>
      </c>
      <c r="K386" s="5">
        <f>_xlfn.XLOOKUP(D386,products!$A$1:$A$49,products!$D$1:$D$49,,0)</f>
        <v>2.5</v>
      </c>
      <c r="L386" s="7">
        <f>_xlfn.XLOOKUP(D386,products!$A$1:$A$49,products!$E$1:$E$49,,0)</f>
        <v>29.784999999999997</v>
      </c>
      <c r="M386" s="7">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IF(_xlfn.XLOOKUP(F387,customers!$B$1:$B$1001,customers!$C$1:$C$1001,,0)=0,"",_xlfn.XLOOKUP(F387,customers!$B$1:$B$1001,customers!$C$1:$C$1001,,0))</f>
        <v>vbaumadierap@google.cn</v>
      </c>
      <c r="H387" s="2" t="str">
        <f>_xlfn.XLOOKUP(C387,customers!$A$1:$A$1001,customers!$G$1:$G$1001,,0)</f>
        <v>United States</v>
      </c>
      <c r="I387" t="str">
        <f>_xlfn.XLOOKUP(D387,products!$A$1:$A$49,products!$B$1:$B$49,,0)</f>
        <v>Lib</v>
      </c>
      <c r="J387" t="str">
        <f>_xlfn.XLOOKUP(D387,products!$A$1:$A$49,products!$C$1:$C$49,,0)</f>
        <v>M</v>
      </c>
      <c r="K387" s="5">
        <f>_xlfn.XLOOKUP(D387,products!$A$1:$A$49,products!$D$1:$D$49,,0)</f>
        <v>0.5</v>
      </c>
      <c r="L387" s="7">
        <f>_xlfn.XLOOKUP(D387,products!$A$1:$A$49,products!$E$1:$E$49,,0)</f>
        <v>8.73</v>
      </c>
      <c r="M387" s="7">
        <f t="shared" ref="M387:M450" si="18">(L387*E387)</f>
        <v>43.650000000000006</v>
      </c>
      <c r="N387" t="str">
        <f t="shared" ref="N387:N450" si="19">IF(I387="Rob","Robusta", 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IF(_xlfn.XLOOKUP(F388,customers!$B$1:$B$1001,customers!$C$1:$C$1001,,0)=0,"",_xlfn.XLOOKUP(F388,customers!$B$1:$B$1001,customers!$C$1:$C$1001,,0))</f>
        <v/>
      </c>
      <c r="H388" s="2" t="str">
        <f>_xlfn.XLOOKUP(C388,customers!$A$1:$A$1001,customers!$G$1:$G$1001,,0)</f>
        <v>United States</v>
      </c>
      <c r="I388" t="str">
        <f>_xlfn.XLOOKUP(D388,products!$A$1:$A$49,products!$B$1:$B$49,,0)</f>
        <v>Ara</v>
      </c>
      <c r="J388" t="str">
        <f>_xlfn.XLOOKUP(D388,products!$A$1:$A$49,products!$C$1:$C$49,,0)</f>
        <v>D</v>
      </c>
      <c r="K388" s="5">
        <f>_xlfn.XLOOKUP(D388,products!$A$1:$A$49,products!$D$1:$D$49,,0)</f>
        <v>0.2</v>
      </c>
      <c r="L388" s="7">
        <f>_xlfn.XLOOKUP(D388,products!$A$1:$A$49,products!$E$1:$E$49,,0)</f>
        <v>2.9849999999999999</v>
      </c>
      <c r="M388" s="7">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IF(_xlfn.XLOOKUP(F389,customers!$B$1:$B$1001,customers!$C$1:$C$1001,,0)=0,"",_xlfn.XLOOKUP(F389,customers!$B$1:$B$1001,customers!$C$1:$C$1001,,0))</f>
        <v>sweldsar@wired.com</v>
      </c>
      <c r="H389" s="2" t="str">
        <f>_xlfn.XLOOKUP(C389,customers!$A$1:$A$1001,customers!$G$1:$G$1001,,0)</f>
        <v>United States</v>
      </c>
      <c r="I389" t="str">
        <f>_xlfn.XLOOKUP(D389,products!$A$1:$A$49,products!$B$1:$B$49,,0)</f>
        <v>Exc</v>
      </c>
      <c r="J389" t="str">
        <f>_xlfn.XLOOKUP(D389,products!$A$1:$A$49,products!$C$1:$C$49,,0)</f>
        <v>L</v>
      </c>
      <c r="K389" s="5">
        <f>_xlfn.XLOOKUP(D389,products!$A$1:$A$49,products!$D$1:$D$49,,0)</f>
        <v>1</v>
      </c>
      <c r="L389" s="7">
        <f>_xlfn.XLOOKUP(D389,products!$A$1:$A$49,products!$E$1:$E$49,,0)</f>
        <v>14.85</v>
      </c>
      <c r="M389" s="7">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IF(_xlfn.XLOOKUP(F390,customers!$B$1:$B$1001,customers!$C$1:$C$1001,,0)=0,"",_xlfn.XLOOKUP(F390,customers!$B$1:$B$1001,customers!$C$1:$C$1001,,0))</f>
        <v>msarvaras@artisteer.com</v>
      </c>
      <c r="H390" s="2" t="str">
        <f>_xlfn.XLOOKUP(C390,customers!$A$1:$A$1001,customers!$G$1:$G$1001,,0)</f>
        <v>United States</v>
      </c>
      <c r="I390" t="str">
        <f>_xlfn.XLOOKUP(D390,products!$A$1:$A$49,products!$B$1:$B$49,,0)</f>
        <v>Lib</v>
      </c>
      <c r="J390" t="str">
        <f>_xlfn.XLOOKUP(D390,products!$A$1:$A$49,products!$C$1:$C$49,,0)</f>
        <v>D</v>
      </c>
      <c r="K390" s="5">
        <f>_xlfn.XLOOKUP(D390,products!$A$1:$A$49,products!$D$1:$D$49,,0)</f>
        <v>0.2</v>
      </c>
      <c r="L390" s="7">
        <f>_xlfn.XLOOKUP(D390,products!$A$1:$A$49,products!$E$1:$E$49,,0)</f>
        <v>3.8849999999999998</v>
      </c>
      <c r="M390" s="7">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IF(_xlfn.XLOOKUP(F391,customers!$B$1:$B$1001,customers!$C$1:$C$1001,,0)=0,"",_xlfn.XLOOKUP(F391,customers!$B$1:$B$1001,customers!$C$1:$C$1001,,0))</f>
        <v>ahavickat@nsw.gov.au</v>
      </c>
      <c r="H391" s="2" t="str">
        <f>_xlfn.XLOOKUP(C391,customers!$A$1:$A$1001,customers!$G$1:$G$1001,,0)</f>
        <v>United States</v>
      </c>
      <c r="I391" t="str">
        <f>_xlfn.XLOOKUP(D391,products!$A$1:$A$49,products!$B$1:$B$49,,0)</f>
        <v>Lib</v>
      </c>
      <c r="J391" t="str">
        <f>_xlfn.XLOOKUP(D391,products!$A$1:$A$49,products!$C$1:$C$49,,0)</f>
        <v>D</v>
      </c>
      <c r="K391" s="5">
        <f>_xlfn.XLOOKUP(D391,products!$A$1:$A$49,products!$D$1:$D$49,,0)</f>
        <v>0.5</v>
      </c>
      <c r="L391" s="7">
        <f>_xlfn.XLOOKUP(D391,products!$A$1:$A$49,products!$E$1:$E$49,,0)</f>
        <v>7.77</v>
      </c>
      <c r="M391" s="7">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IF(_xlfn.XLOOKUP(F392,customers!$B$1:$B$1001,customers!$C$1:$C$1001,,0)=0,"",_xlfn.XLOOKUP(F392,customers!$B$1:$B$1001,customers!$C$1:$C$1001,,0))</f>
        <v>sdivinyau@ask.com</v>
      </c>
      <c r="H392" s="2" t="str">
        <f>_xlfn.XLOOKUP(C392,customers!$A$1:$A$1001,customers!$G$1:$G$1001,,0)</f>
        <v>United States</v>
      </c>
      <c r="I392" t="str">
        <f>_xlfn.XLOOKUP(D392,products!$A$1:$A$49,products!$B$1:$B$49,,0)</f>
        <v>Exc</v>
      </c>
      <c r="J392" t="str">
        <f>_xlfn.XLOOKUP(D392,products!$A$1:$A$49,products!$C$1:$C$49,,0)</f>
        <v>D</v>
      </c>
      <c r="K392" s="5">
        <f>_xlfn.XLOOKUP(D392,products!$A$1:$A$49,products!$D$1:$D$49,,0)</f>
        <v>0.5</v>
      </c>
      <c r="L392" s="7">
        <f>_xlfn.XLOOKUP(D392,products!$A$1:$A$49,products!$E$1:$E$49,,0)</f>
        <v>7.29</v>
      </c>
      <c r="M392" s="7">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IF(_xlfn.XLOOKUP(F393,customers!$B$1:$B$1001,customers!$C$1:$C$1001,,0)=0,"",_xlfn.XLOOKUP(F393,customers!$B$1:$B$1001,customers!$C$1:$C$1001,,0))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5">
        <f>_xlfn.XLOOKUP(D393,products!$A$1:$A$49,products!$D$1:$D$49,,0)</f>
        <v>0.5</v>
      </c>
      <c r="L393" s="7">
        <f>_xlfn.XLOOKUP(D393,products!$A$1:$A$49,products!$E$1:$E$49,,0)</f>
        <v>6.75</v>
      </c>
      <c r="M393" s="7">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IF(_xlfn.XLOOKUP(F394,customers!$B$1:$B$1001,customers!$C$1:$C$1001,,0)=0,"",_xlfn.XLOOKUP(F394,customers!$B$1:$B$1001,customers!$C$1:$C$1001,,0))</f>
        <v>aiddisonaw@usa.gov</v>
      </c>
      <c r="H394" s="2" t="str">
        <f>_xlfn.XLOOKUP(C394,customers!$A$1:$A$1001,customers!$G$1:$G$1001,,0)</f>
        <v>United States</v>
      </c>
      <c r="I394" t="str">
        <f>_xlfn.XLOOKUP(D394,products!$A$1:$A$49,products!$B$1:$B$49,,0)</f>
        <v>Exc</v>
      </c>
      <c r="J394" t="str">
        <f>_xlfn.XLOOKUP(D394,products!$A$1:$A$49,products!$C$1:$C$49,,0)</f>
        <v>L</v>
      </c>
      <c r="K394" s="5">
        <f>_xlfn.XLOOKUP(D394,products!$A$1:$A$49,products!$D$1:$D$49,,0)</f>
        <v>1</v>
      </c>
      <c r="L394" s="7">
        <f>_xlfn.XLOOKUP(D394,products!$A$1:$A$49,products!$E$1:$E$49,,0)</f>
        <v>14.85</v>
      </c>
      <c r="M394" s="7">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IF(_xlfn.XLOOKUP(F395,customers!$B$1:$B$1001,customers!$C$1:$C$1001,,0)=0,"",_xlfn.XLOOKUP(F395,customers!$B$1:$B$1001,customers!$C$1:$C$1001,,0))</f>
        <v>aiddisonaw@usa.gov</v>
      </c>
      <c r="H395" s="2" t="str">
        <f>_xlfn.XLOOKUP(C395,customers!$A$1:$A$1001,customers!$G$1:$G$1001,,0)</f>
        <v>United States</v>
      </c>
      <c r="I395" t="str">
        <f>_xlfn.XLOOKUP(D395,products!$A$1:$A$49,products!$B$1:$B$49,,0)</f>
        <v>Ara</v>
      </c>
      <c r="J395" t="str">
        <f>_xlfn.XLOOKUP(D395,products!$A$1:$A$49,products!$C$1:$C$49,,0)</f>
        <v>L</v>
      </c>
      <c r="K395" s="5">
        <f>_xlfn.XLOOKUP(D395,products!$A$1:$A$49,products!$D$1:$D$49,,0)</f>
        <v>0.2</v>
      </c>
      <c r="L395" s="7">
        <f>_xlfn.XLOOKUP(D395,products!$A$1:$A$49,products!$E$1:$E$49,,0)</f>
        <v>3.8849999999999998</v>
      </c>
      <c r="M395" s="7">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IF(_xlfn.XLOOKUP(F396,customers!$B$1:$B$1001,customers!$C$1:$C$1001,,0)=0,"",_xlfn.XLOOKUP(F396,customers!$B$1:$B$1001,customers!$C$1:$C$1001,,0))</f>
        <v>rlongfielday@bluehost.com</v>
      </c>
      <c r="H396" s="2" t="str">
        <f>_xlfn.XLOOKUP(C396,customers!$A$1:$A$1001,customers!$G$1:$G$1001,,0)</f>
        <v>United States</v>
      </c>
      <c r="I396" t="str">
        <f>_xlfn.XLOOKUP(D396,products!$A$1:$A$49,products!$B$1:$B$49,,0)</f>
        <v>Rob</v>
      </c>
      <c r="J396" t="str">
        <f>_xlfn.XLOOKUP(D396,products!$A$1:$A$49,products!$C$1:$C$49,,0)</f>
        <v>L</v>
      </c>
      <c r="K396" s="5">
        <f>_xlfn.XLOOKUP(D396,products!$A$1:$A$49,products!$D$1:$D$49,,0)</f>
        <v>2.5</v>
      </c>
      <c r="L396" s="7">
        <f>_xlfn.XLOOKUP(D396,products!$A$1:$A$49,products!$E$1:$E$49,,0)</f>
        <v>27.484999999999996</v>
      </c>
      <c r="M396" s="7">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IF(_xlfn.XLOOKUP(F397,customers!$B$1:$B$1001,customers!$C$1:$C$1001,,0)=0,"",_xlfn.XLOOKUP(F397,customers!$B$1:$B$1001,customers!$C$1:$C$1001,,0))</f>
        <v>gkislingburyaz@samsung.com</v>
      </c>
      <c r="H397" s="2" t="str">
        <f>_xlfn.XLOOKUP(C397,customers!$A$1:$A$1001,customers!$G$1:$G$1001,,0)</f>
        <v>United States</v>
      </c>
      <c r="I397" t="str">
        <f>_xlfn.XLOOKUP(D397,products!$A$1:$A$49,products!$B$1:$B$49,,0)</f>
        <v>Lib</v>
      </c>
      <c r="J397" t="str">
        <f>_xlfn.XLOOKUP(D397,products!$A$1:$A$49,products!$C$1:$C$49,,0)</f>
        <v>D</v>
      </c>
      <c r="K397" s="5">
        <f>_xlfn.XLOOKUP(D397,products!$A$1:$A$49,products!$D$1:$D$49,,0)</f>
        <v>0.5</v>
      </c>
      <c r="L397" s="7">
        <f>_xlfn.XLOOKUP(D397,products!$A$1:$A$49,products!$E$1:$E$49,,0)</f>
        <v>7.77</v>
      </c>
      <c r="M397" s="7">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IF(_xlfn.XLOOKUP(F398,customers!$B$1:$B$1001,customers!$C$1:$C$1001,,0)=0,"",_xlfn.XLOOKUP(F398,customers!$B$1:$B$1001,customers!$C$1:$C$1001,,0))</f>
        <v>xgibbonsb0@artisteer.com</v>
      </c>
      <c r="H398" s="2" t="str">
        <f>_xlfn.XLOOKUP(C398,customers!$A$1:$A$1001,customers!$G$1:$G$1001,,0)</f>
        <v>United States</v>
      </c>
      <c r="I398" t="str">
        <f>_xlfn.XLOOKUP(D398,products!$A$1:$A$49,products!$B$1:$B$49,,0)</f>
        <v>Ara</v>
      </c>
      <c r="J398" t="str">
        <f>_xlfn.XLOOKUP(D398,products!$A$1:$A$49,products!$C$1:$C$49,,0)</f>
        <v>L</v>
      </c>
      <c r="K398" s="5">
        <f>_xlfn.XLOOKUP(D398,products!$A$1:$A$49,products!$D$1:$D$49,,0)</f>
        <v>0.5</v>
      </c>
      <c r="L398" s="7">
        <f>_xlfn.XLOOKUP(D398,products!$A$1:$A$49,products!$E$1:$E$49,,0)</f>
        <v>7.77</v>
      </c>
      <c r="M398" s="7">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IF(_xlfn.XLOOKUP(F399,customers!$B$1:$B$1001,customers!$C$1:$C$1001,,0)=0,"",_xlfn.XLOOKUP(F399,customers!$B$1:$B$1001,customers!$C$1:$C$1001,,0))</f>
        <v>fparresb1@imageshack.us</v>
      </c>
      <c r="H399" s="2" t="str">
        <f>_xlfn.XLOOKUP(C399,customers!$A$1:$A$1001,customers!$G$1:$G$1001,,0)</f>
        <v>United States</v>
      </c>
      <c r="I399" t="str">
        <f>_xlfn.XLOOKUP(D399,products!$A$1:$A$49,products!$B$1:$B$49,,0)</f>
        <v>Lib</v>
      </c>
      <c r="J399" t="str">
        <f>_xlfn.XLOOKUP(D399,products!$A$1:$A$49,products!$C$1:$C$49,,0)</f>
        <v>D</v>
      </c>
      <c r="K399" s="5">
        <f>_xlfn.XLOOKUP(D399,products!$A$1:$A$49,products!$D$1:$D$49,,0)</f>
        <v>0.5</v>
      </c>
      <c r="L399" s="7">
        <f>_xlfn.XLOOKUP(D399,products!$A$1:$A$49,products!$E$1:$E$49,,0)</f>
        <v>7.77</v>
      </c>
      <c r="M399" s="7">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IF(_xlfn.XLOOKUP(F400,customers!$B$1:$B$1001,customers!$C$1:$C$1001,,0)=0,"",_xlfn.XLOOKUP(F400,customers!$B$1:$B$1001,customers!$C$1:$C$1001,,0))</f>
        <v>gsibrayb2@wsj.com</v>
      </c>
      <c r="H400" s="2" t="str">
        <f>_xlfn.XLOOKUP(C400,customers!$A$1:$A$1001,customers!$G$1:$G$1001,,0)</f>
        <v>United States</v>
      </c>
      <c r="I400" t="str">
        <f>_xlfn.XLOOKUP(D400,products!$A$1:$A$49,products!$B$1:$B$49,,0)</f>
        <v>Ara</v>
      </c>
      <c r="J400" t="str">
        <f>_xlfn.XLOOKUP(D400,products!$A$1:$A$49,products!$C$1:$C$49,,0)</f>
        <v>D</v>
      </c>
      <c r="K400" s="5">
        <f>_xlfn.XLOOKUP(D400,products!$A$1:$A$49,products!$D$1:$D$49,,0)</f>
        <v>0.2</v>
      </c>
      <c r="L400" s="7">
        <f>_xlfn.XLOOKUP(D400,products!$A$1:$A$49,products!$E$1:$E$49,,0)</f>
        <v>2.9849999999999999</v>
      </c>
      <c r="M400" s="7">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IF(_xlfn.XLOOKUP(F401,customers!$B$1:$B$1001,customers!$C$1:$C$1001,,0)=0,"",_xlfn.XLOOKUP(F401,customers!$B$1:$B$1001,customers!$C$1:$C$1001,,0))</f>
        <v>ihotchkinb3@mit.edu</v>
      </c>
      <c r="H401" s="2" t="str">
        <f>_xlfn.XLOOKUP(C401,customers!$A$1:$A$1001,customers!$G$1:$G$1001,,0)</f>
        <v>United Kingdom</v>
      </c>
      <c r="I401" t="str">
        <f>_xlfn.XLOOKUP(D401,products!$A$1:$A$49,products!$B$1:$B$49,,0)</f>
        <v>Exc</v>
      </c>
      <c r="J401" t="str">
        <f>_xlfn.XLOOKUP(D401,products!$A$1:$A$49,products!$C$1:$C$49,,0)</f>
        <v>D</v>
      </c>
      <c r="K401" s="5">
        <f>_xlfn.XLOOKUP(D401,products!$A$1:$A$49,products!$D$1:$D$49,,0)</f>
        <v>2.5</v>
      </c>
      <c r="L401" s="7">
        <f>_xlfn.XLOOKUP(D401,products!$A$1:$A$49,products!$E$1:$E$49,,0)</f>
        <v>27.945</v>
      </c>
      <c r="M401" s="7">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IF(_xlfn.XLOOKUP(F402,customers!$B$1:$B$1001,customers!$C$1:$C$1001,,0)=0,"",_xlfn.XLOOKUP(F402,customers!$B$1:$B$1001,customers!$C$1:$C$1001,,0))</f>
        <v>nbroadberrieb4@gnu.org</v>
      </c>
      <c r="H402" s="2" t="str">
        <f>_xlfn.XLOOKUP(C402,customers!$A$1:$A$1001,customers!$G$1:$G$1001,,0)</f>
        <v>United States</v>
      </c>
      <c r="I402" t="str">
        <f>_xlfn.XLOOKUP(D402,products!$A$1:$A$49,products!$B$1:$B$49,,0)</f>
        <v>Lib</v>
      </c>
      <c r="J402" t="str">
        <f>_xlfn.XLOOKUP(D402,products!$A$1:$A$49,products!$C$1:$C$49,,0)</f>
        <v>L</v>
      </c>
      <c r="K402" s="5">
        <f>_xlfn.XLOOKUP(D402,products!$A$1:$A$49,products!$D$1:$D$49,,0)</f>
        <v>1</v>
      </c>
      <c r="L402" s="7">
        <f>_xlfn.XLOOKUP(D402,products!$A$1:$A$49,products!$E$1:$E$49,,0)</f>
        <v>15.85</v>
      </c>
      <c r="M402" s="7">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IF(_xlfn.XLOOKUP(F403,customers!$B$1:$B$1001,customers!$C$1:$C$1001,,0)=0,"",_xlfn.XLOOKUP(F403,customers!$B$1:$B$1001,customers!$C$1:$C$1001,,0))</f>
        <v>rpithcockb5@yellowbook.com</v>
      </c>
      <c r="H403" s="2" t="str">
        <f>_xlfn.XLOOKUP(C403,customers!$A$1:$A$1001,customers!$G$1:$G$1001,,0)</f>
        <v>United States</v>
      </c>
      <c r="I403" t="str">
        <f>_xlfn.XLOOKUP(D403,products!$A$1:$A$49,products!$B$1:$B$49,,0)</f>
        <v>Lib</v>
      </c>
      <c r="J403" t="str">
        <f>_xlfn.XLOOKUP(D403,products!$A$1:$A$49,products!$C$1:$C$49,,0)</f>
        <v>M</v>
      </c>
      <c r="K403" s="5">
        <f>_xlfn.XLOOKUP(D403,products!$A$1:$A$49,products!$D$1:$D$49,,0)</f>
        <v>0.2</v>
      </c>
      <c r="L403" s="7">
        <f>_xlfn.XLOOKUP(D403,products!$A$1:$A$49,products!$E$1:$E$49,,0)</f>
        <v>4.3650000000000002</v>
      </c>
      <c r="M403" s="7">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IF(_xlfn.XLOOKUP(F404,customers!$B$1:$B$1001,customers!$C$1:$C$1001,,0)=0,"",_xlfn.XLOOKUP(F404,customers!$B$1:$B$1001,customers!$C$1:$C$1001,,0))</f>
        <v>gcroysdaleb6@nih.gov</v>
      </c>
      <c r="H404" s="2" t="str">
        <f>_xlfn.XLOOKUP(C404,customers!$A$1:$A$1001,customers!$G$1:$G$1001,,0)</f>
        <v>United States</v>
      </c>
      <c r="I404" t="str">
        <f>_xlfn.XLOOKUP(D404,products!$A$1:$A$49,products!$B$1:$B$49,,0)</f>
        <v>Rob</v>
      </c>
      <c r="J404" t="str">
        <f>_xlfn.XLOOKUP(D404,products!$A$1:$A$49,products!$C$1:$C$49,,0)</f>
        <v>D</v>
      </c>
      <c r="K404" s="5">
        <f>_xlfn.XLOOKUP(D404,products!$A$1:$A$49,products!$D$1:$D$49,,0)</f>
        <v>1</v>
      </c>
      <c r="L404" s="7">
        <f>_xlfn.XLOOKUP(D404,products!$A$1:$A$49,products!$E$1:$E$49,,0)</f>
        <v>8.9499999999999993</v>
      </c>
      <c r="M404" s="7">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IF(_xlfn.XLOOKUP(F405,customers!$B$1:$B$1001,customers!$C$1:$C$1001,,0)=0,"",_xlfn.XLOOKUP(F405,customers!$B$1:$B$1001,customers!$C$1:$C$1001,,0))</f>
        <v>bgozzettb7@github.com</v>
      </c>
      <c r="H405" s="2" t="str">
        <f>_xlfn.XLOOKUP(C405,customers!$A$1:$A$1001,customers!$G$1:$G$1001,,0)</f>
        <v>United States</v>
      </c>
      <c r="I405" t="str">
        <f>_xlfn.XLOOKUP(D405,products!$A$1:$A$49,products!$B$1:$B$49,,0)</f>
        <v>Lib</v>
      </c>
      <c r="J405" t="str">
        <f>_xlfn.XLOOKUP(D405,products!$A$1:$A$49,products!$C$1:$C$49,,0)</f>
        <v>L</v>
      </c>
      <c r="K405" s="5">
        <f>_xlfn.XLOOKUP(D405,products!$A$1:$A$49,products!$D$1:$D$49,,0)</f>
        <v>0.2</v>
      </c>
      <c r="L405" s="7">
        <f>_xlfn.XLOOKUP(D405,products!$A$1:$A$49,products!$E$1:$E$49,,0)</f>
        <v>4.7549999999999999</v>
      </c>
      <c r="M405" s="7">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IF(_xlfn.XLOOKUP(F406,customers!$B$1:$B$1001,customers!$C$1:$C$1001,,0)=0,"",_xlfn.XLOOKUP(F406,customers!$B$1:$B$1001,customers!$C$1:$C$1001,,0))</f>
        <v>tcraggsb8@house.gov</v>
      </c>
      <c r="H406" s="2" t="str">
        <f>_xlfn.XLOOKUP(C406,customers!$A$1:$A$1001,customers!$G$1:$G$1001,,0)</f>
        <v>Ireland</v>
      </c>
      <c r="I406" t="str">
        <f>_xlfn.XLOOKUP(D406,products!$A$1:$A$49,products!$B$1:$B$49,,0)</f>
        <v>Ara</v>
      </c>
      <c r="J406" t="str">
        <f>_xlfn.XLOOKUP(D406,products!$A$1:$A$49,products!$C$1:$C$49,,0)</f>
        <v>D</v>
      </c>
      <c r="K406" s="5">
        <f>_xlfn.XLOOKUP(D406,products!$A$1:$A$49,products!$D$1:$D$49,,0)</f>
        <v>1</v>
      </c>
      <c r="L406" s="7">
        <f>_xlfn.XLOOKUP(D406,products!$A$1:$A$49,products!$E$1:$E$49,,0)</f>
        <v>9.9499999999999993</v>
      </c>
      <c r="M406" s="7">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IF(_xlfn.XLOOKUP(F407,customers!$B$1:$B$1001,customers!$C$1:$C$1001,,0)=0,"",_xlfn.XLOOKUP(F407,customers!$B$1:$B$1001,customers!$C$1:$C$1001,,0))</f>
        <v>lcullrfordb9@xing.com</v>
      </c>
      <c r="H407" s="2" t="str">
        <f>_xlfn.XLOOKUP(C407,customers!$A$1:$A$1001,customers!$G$1:$G$1001,,0)</f>
        <v>United States</v>
      </c>
      <c r="I407" t="str">
        <f>_xlfn.XLOOKUP(D407,products!$A$1:$A$49,products!$B$1:$B$49,,0)</f>
        <v>Exc</v>
      </c>
      <c r="J407" t="str">
        <f>_xlfn.XLOOKUP(D407,products!$A$1:$A$49,products!$C$1:$C$49,,0)</f>
        <v>M</v>
      </c>
      <c r="K407" s="5">
        <f>_xlfn.XLOOKUP(D407,products!$A$1:$A$49,products!$D$1:$D$49,,0)</f>
        <v>0.5</v>
      </c>
      <c r="L407" s="7">
        <f>_xlfn.XLOOKUP(D407,products!$A$1:$A$49,products!$E$1:$E$49,,0)</f>
        <v>8.25</v>
      </c>
      <c r="M407" s="7">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IF(_xlfn.XLOOKUP(F408,customers!$B$1:$B$1001,customers!$C$1:$C$1001,,0)=0,"",_xlfn.XLOOKUP(F408,customers!$B$1:$B$1001,customers!$C$1:$C$1001,,0))</f>
        <v>arizonba@xing.com</v>
      </c>
      <c r="H408" s="2" t="str">
        <f>_xlfn.XLOOKUP(C408,customers!$A$1:$A$1001,customers!$G$1:$G$1001,,0)</f>
        <v>United States</v>
      </c>
      <c r="I408" t="str">
        <f>_xlfn.XLOOKUP(D408,products!$A$1:$A$49,products!$B$1:$B$49,,0)</f>
        <v>Exc</v>
      </c>
      <c r="J408" t="str">
        <f>_xlfn.XLOOKUP(D408,products!$A$1:$A$49,products!$C$1:$C$49,,0)</f>
        <v>M</v>
      </c>
      <c r="K408" s="5">
        <f>_xlfn.XLOOKUP(D408,products!$A$1:$A$49,products!$D$1:$D$49,,0)</f>
        <v>1</v>
      </c>
      <c r="L408" s="7">
        <f>_xlfn.XLOOKUP(D408,products!$A$1:$A$49,products!$E$1:$E$49,,0)</f>
        <v>13.75</v>
      </c>
      <c r="M408" s="7">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IF(_xlfn.XLOOKUP(F409,customers!$B$1:$B$1001,customers!$C$1:$C$1001,,0)=0,"",_xlfn.XLOOKUP(F409,customers!$B$1:$B$1001,customers!$C$1:$C$1001,,0))</f>
        <v/>
      </c>
      <c r="H409" s="2" t="str">
        <f>_xlfn.XLOOKUP(C409,customers!$A$1:$A$1001,customers!$G$1:$G$1001,,0)</f>
        <v>Ireland</v>
      </c>
      <c r="I409" t="str">
        <f>_xlfn.XLOOKUP(D409,products!$A$1:$A$49,products!$B$1:$B$49,,0)</f>
        <v>Exc</v>
      </c>
      <c r="J409" t="str">
        <f>_xlfn.XLOOKUP(D409,products!$A$1:$A$49,products!$C$1:$C$49,,0)</f>
        <v>M</v>
      </c>
      <c r="K409" s="5">
        <f>_xlfn.XLOOKUP(D409,products!$A$1:$A$49,products!$D$1:$D$49,,0)</f>
        <v>0.5</v>
      </c>
      <c r="L409" s="7">
        <f>_xlfn.XLOOKUP(D409,products!$A$1:$A$49,products!$E$1:$E$49,,0)</f>
        <v>8.25</v>
      </c>
      <c r="M409" s="7">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IF(_xlfn.XLOOKUP(F410,customers!$B$1:$B$1001,customers!$C$1:$C$1001,,0)=0,"",_xlfn.XLOOKUP(F410,customers!$B$1:$B$1001,customers!$C$1:$C$1001,,0))</f>
        <v>fmiellbc@spiegel.de</v>
      </c>
      <c r="H410" s="2" t="str">
        <f>_xlfn.XLOOKUP(C410,customers!$A$1:$A$1001,customers!$G$1:$G$1001,,0)</f>
        <v>United States</v>
      </c>
      <c r="I410" t="str">
        <f>_xlfn.XLOOKUP(D410,products!$A$1:$A$49,products!$B$1:$B$49,,0)</f>
        <v>Ara</v>
      </c>
      <c r="J410" t="str">
        <f>_xlfn.XLOOKUP(D410,products!$A$1:$A$49,products!$C$1:$C$49,,0)</f>
        <v>M</v>
      </c>
      <c r="K410" s="5">
        <f>_xlfn.XLOOKUP(D410,products!$A$1:$A$49,products!$D$1:$D$49,,0)</f>
        <v>2.5</v>
      </c>
      <c r="L410" s="7">
        <f>_xlfn.XLOOKUP(D410,products!$A$1:$A$49,products!$E$1:$E$49,,0)</f>
        <v>25.874999999999996</v>
      </c>
      <c r="M410" s="7">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IF(_xlfn.XLOOKUP(F411,customers!$B$1:$B$1001,customers!$C$1:$C$1001,,0)=0,"",_xlfn.XLOOKUP(F411,customers!$B$1:$B$1001,customers!$C$1:$C$1001,,0))</f>
        <v/>
      </c>
      <c r="H411" s="2" t="str">
        <f>_xlfn.XLOOKUP(C411,customers!$A$1:$A$1001,customers!$G$1:$G$1001,,0)</f>
        <v>Ireland</v>
      </c>
      <c r="I411" t="str">
        <f>_xlfn.XLOOKUP(D411,products!$A$1:$A$49,products!$B$1:$B$49,,0)</f>
        <v>Lib</v>
      </c>
      <c r="J411" t="str">
        <f>_xlfn.XLOOKUP(D411,products!$A$1:$A$49,products!$C$1:$C$49,,0)</f>
        <v>L</v>
      </c>
      <c r="K411" s="5">
        <f>_xlfn.XLOOKUP(D411,products!$A$1:$A$49,products!$D$1:$D$49,,0)</f>
        <v>1</v>
      </c>
      <c r="L411" s="7">
        <f>_xlfn.XLOOKUP(D411,products!$A$1:$A$49,products!$E$1:$E$49,,0)</f>
        <v>15.85</v>
      </c>
      <c r="M411" s="7">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IF(_xlfn.XLOOKUP(F412,customers!$B$1:$B$1001,customers!$C$1:$C$1001,,0)=0,"",_xlfn.XLOOKUP(F412,customers!$B$1:$B$1001,customers!$C$1:$C$1001,,0))</f>
        <v/>
      </c>
      <c r="H412" s="2" t="str">
        <f>_xlfn.XLOOKUP(C412,customers!$A$1:$A$1001,customers!$G$1:$G$1001,,0)</f>
        <v>United States</v>
      </c>
      <c r="I412" t="str">
        <f>_xlfn.XLOOKUP(D412,products!$A$1:$A$49,products!$B$1:$B$49,,0)</f>
        <v>Ara</v>
      </c>
      <c r="J412" t="str">
        <f>_xlfn.XLOOKUP(D412,products!$A$1:$A$49,products!$C$1:$C$49,,0)</f>
        <v>L</v>
      </c>
      <c r="K412" s="5">
        <f>_xlfn.XLOOKUP(D412,products!$A$1:$A$49,products!$D$1:$D$49,,0)</f>
        <v>0.2</v>
      </c>
      <c r="L412" s="7">
        <f>_xlfn.XLOOKUP(D412,products!$A$1:$A$49,products!$E$1:$E$49,,0)</f>
        <v>3.8849999999999998</v>
      </c>
      <c r="M412" s="7">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IF(_xlfn.XLOOKUP(F413,customers!$B$1:$B$1001,customers!$C$1:$C$1001,,0)=0,"",_xlfn.XLOOKUP(F413,customers!$B$1:$B$1001,customers!$C$1:$C$1001,,0))</f>
        <v/>
      </c>
      <c r="H413" s="2" t="str">
        <f>_xlfn.XLOOKUP(C413,customers!$A$1:$A$1001,customers!$G$1:$G$1001,,0)</f>
        <v>United States</v>
      </c>
      <c r="I413" t="str">
        <f>_xlfn.XLOOKUP(D413,products!$A$1:$A$49,products!$B$1:$B$49,,0)</f>
        <v>Lib</v>
      </c>
      <c r="J413" t="str">
        <f>_xlfn.XLOOKUP(D413,products!$A$1:$A$49,products!$C$1:$C$49,,0)</f>
        <v>M</v>
      </c>
      <c r="K413" s="5">
        <f>_xlfn.XLOOKUP(D413,products!$A$1:$A$49,products!$D$1:$D$49,,0)</f>
        <v>1</v>
      </c>
      <c r="L413" s="7">
        <f>_xlfn.XLOOKUP(D413,products!$A$1:$A$49,products!$E$1:$E$49,,0)</f>
        <v>14.55</v>
      </c>
      <c r="M413" s="7">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IF(_xlfn.XLOOKUP(F414,customers!$B$1:$B$1001,customers!$C$1:$C$1001,,0)=0,"",_xlfn.XLOOKUP(F414,customers!$B$1:$B$1001,customers!$C$1:$C$1001,,0))</f>
        <v/>
      </c>
      <c r="H414" s="2" t="str">
        <f>_xlfn.XLOOKUP(C414,customers!$A$1:$A$1001,customers!$G$1:$G$1001,,0)</f>
        <v>United States</v>
      </c>
      <c r="I414" t="str">
        <f>_xlfn.XLOOKUP(D414,products!$A$1:$A$49,products!$B$1:$B$49,,0)</f>
        <v>Ara</v>
      </c>
      <c r="J414" t="str">
        <f>_xlfn.XLOOKUP(D414,products!$A$1:$A$49,products!$C$1:$C$49,,0)</f>
        <v>M</v>
      </c>
      <c r="K414" s="5">
        <f>_xlfn.XLOOKUP(D414,products!$A$1:$A$49,products!$D$1:$D$49,,0)</f>
        <v>1</v>
      </c>
      <c r="L414" s="7">
        <f>_xlfn.XLOOKUP(D414,products!$A$1:$A$49,products!$E$1:$E$49,,0)</f>
        <v>11.25</v>
      </c>
      <c r="M414" s="7">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IF(_xlfn.XLOOKUP(F415,customers!$B$1:$B$1001,customers!$C$1:$C$1001,,0)=0,"",_xlfn.XLOOKUP(F415,customers!$B$1:$B$1001,customers!$C$1:$C$1001,,0))</f>
        <v>wspringallbh@jugem.jp</v>
      </c>
      <c r="H415" s="2" t="str">
        <f>_xlfn.XLOOKUP(C415,customers!$A$1:$A$1001,customers!$G$1:$G$1001,,0)</f>
        <v>United States</v>
      </c>
      <c r="I415" t="str">
        <f>_xlfn.XLOOKUP(D415,products!$A$1:$A$49,products!$B$1:$B$49,,0)</f>
        <v>Lib</v>
      </c>
      <c r="J415" t="str">
        <f>_xlfn.XLOOKUP(D415,products!$A$1:$A$49,products!$C$1:$C$49,,0)</f>
        <v>L</v>
      </c>
      <c r="K415" s="5">
        <f>_xlfn.XLOOKUP(D415,products!$A$1:$A$49,products!$D$1:$D$49,,0)</f>
        <v>2.5</v>
      </c>
      <c r="L415" s="7">
        <f>_xlfn.XLOOKUP(D415,products!$A$1:$A$49,products!$E$1:$E$49,,0)</f>
        <v>36.454999999999998</v>
      </c>
      <c r="M415" s="7">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IF(_xlfn.XLOOKUP(F416,customers!$B$1:$B$1001,customers!$C$1:$C$1001,,0)=0,"",_xlfn.XLOOKUP(F416,customers!$B$1:$B$1001,customers!$C$1:$C$1001,,0))</f>
        <v/>
      </c>
      <c r="H416" s="2" t="str">
        <f>_xlfn.XLOOKUP(C416,customers!$A$1:$A$1001,customers!$G$1:$G$1001,,0)</f>
        <v>United States</v>
      </c>
      <c r="I416" t="str">
        <f>_xlfn.XLOOKUP(D416,products!$A$1:$A$49,products!$B$1:$B$49,,0)</f>
        <v>Rob</v>
      </c>
      <c r="J416" t="str">
        <f>_xlfn.XLOOKUP(D416,products!$A$1:$A$49,products!$C$1:$C$49,,0)</f>
        <v>L</v>
      </c>
      <c r="K416" s="5">
        <f>_xlfn.XLOOKUP(D416,products!$A$1:$A$49,products!$D$1:$D$49,,0)</f>
        <v>0.2</v>
      </c>
      <c r="L416" s="7">
        <f>_xlfn.XLOOKUP(D416,products!$A$1:$A$49,products!$E$1:$E$49,,0)</f>
        <v>3.5849999999999995</v>
      </c>
      <c r="M416" s="7">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IF(_xlfn.XLOOKUP(F417,customers!$B$1:$B$1001,customers!$C$1:$C$1001,,0)=0,"",_xlfn.XLOOKUP(F417,customers!$B$1:$B$1001,customers!$C$1:$C$1001,,0))</f>
        <v>ghawkyensbj@census.gov</v>
      </c>
      <c r="H417" s="2" t="str">
        <f>_xlfn.XLOOKUP(C417,customers!$A$1:$A$1001,customers!$G$1:$G$1001,,0)</f>
        <v>United States</v>
      </c>
      <c r="I417" t="str">
        <f>_xlfn.XLOOKUP(D417,products!$A$1:$A$49,products!$B$1:$B$49,,0)</f>
        <v>Rob</v>
      </c>
      <c r="J417" t="str">
        <f>_xlfn.XLOOKUP(D417,products!$A$1:$A$49,products!$C$1:$C$49,,0)</f>
        <v>M</v>
      </c>
      <c r="K417" s="5">
        <f>_xlfn.XLOOKUP(D417,products!$A$1:$A$49,products!$D$1:$D$49,,0)</f>
        <v>0.2</v>
      </c>
      <c r="L417" s="7">
        <f>_xlfn.XLOOKUP(D417,products!$A$1:$A$49,products!$E$1:$E$49,,0)</f>
        <v>2.9849999999999999</v>
      </c>
      <c r="M417" s="7">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IF(_xlfn.XLOOKUP(F418,customers!$B$1:$B$1001,customers!$C$1:$C$1001,,0)=0,"",_xlfn.XLOOKUP(F418,customers!$B$1:$B$1001,customers!$C$1:$C$1001,,0))</f>
        <v/>
      </c>
      <c r="H418" s="2" t="str">
        <f>_xlfn.XLOOKUP(C418,customers!$A$1:$A$1001,customers!$G$1:$G$1001,,0)</f>
        <v>United States</v>
      </c>
      <c r="I418" t="str">
        <f>_xlfn.XLOOKUP(D418,products!$A$1:$A$49,products!$B$1:$B$49,,0)</f>
        <v>Ara</v>
      </c>
      <c r="J418" t="str">
        <f>_xlfn.XLOOKUP(D418,products!$A$1:$A$49,products!$C$1:$C$49,,0)</f>
        <v>L</v>
      </c>
      <c r="K418" s="5">
        <f>_xlfn.XLOOKUP(D418,products!$A$1:$A$49,products!$D$1:$D$49,,0)</f>
        <v>0.5</v>
      </c>
      <c r="L418" s="7">
        <f>_xlfn.XLOOKUP(D418,products!$A$1:$A$49,products!$E$1:$E$49,,0)</f>
        <v>7.77</v>
      </c>
      <c r="M418" s="7">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IF(_xlfn.XLOOKUP(F419,customers!$B$1:$B$1001,customers!$C$1:$C$1001,,0)=0,"",_xlfn.XLOOKUP(F419,customers!$B$1:$B$1001,customers!$C$1:$C$1001,,0))</f>
        <v/>
      </c>
      <c r="H419" s="2" t="str">
        <f>_xlfn.XLOOKUP(C419,customers!$A$1:$A$1001,customers!$G$1:$G$1001,,0)</f>
        <v>United States</v>
      </c>
      <c r="I419" t="str">
        <f>_xlfn.XLOOKUP(D419,products!$A$1:$A$49,products!$B$1:$B$49,,0)</f>
        <v>Ara</v>
      </c>
      <c r="J419" t="str">
        <f>_xlfn.XLOOKUP(D419,products!$A$1:$A$49,products!$C$1:$C$49,,0)</f>
        <v>L</v>
      </c>
      <c r="K419" s="5">
        <f>_xlfn.XLOOKUP(D419,products!$A$1:$A$49,products!$D$1:$D$49,,0)</f>
        <v>2.5</v>
      </c>
      <c r="L419" s="7">
        <f>_xlfn.XLOOKUP(D419,products!$A$1:$A$49,products!$E$1:$E$49,,0)</f>
        <v>29.784999999999997</v>
      </c>
      <c r="M419" s="7">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IF(_xlfn.XLOOKUP(F420,customers!$B$1:$B$1001,customers!$C$1:$C$1001,,0)=0,"",_xlfn.XLOOKUP(F420,customers!$B$1:$B$1001,customers!$C$1:$C$1001,,0))</f>
        <v>bmcgilvrabm@so-net.ne.jp</v>
      </c>
      <c r="H420" s="2" t="str">
        <f>_xlfn.XLOOKUP(C420,customers!$A$1:$A$1001,customers!$G$1:$G$1001,,0)</f>
        <v>United States</v>
      </c>
      <c r="I420" t="str">
        <f>_xlfn.XLOOKUP(D420,products!$A$1:$A$49,products!$B$1:$B$49,,0)</f>
        <v>Ara</v>
      </c>
      <c r="J420" t="str">
        <f>_xlfn.XLOOKUP(D420,products!$A$1:$A$49,products!$C$1:$C$49,,0)</f>
        <v>L</v>
      </c>
      <c r="K420" s="5">
        <f>_xlfn.XLOOKUP(D420,products!$A$1:$A$49,products!$D$1:$D$49,,0)</f>
        <v>2.5</v>
      </c>
      <c r="L420" s="7">
        <f>_xlfn.XLOOKUP(D420,products!$A$1:$A$49,products!$E$1:$E$49,,0)</f>
        <v>29.784999999999997</v>
      </c>
      <c r="M420" s="7">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IF(_xlfn.XLOOKUP(F421,customers!$B$1:$B$1001,customers!$C$1:$C$1001,,0)=0,"",_xlfn.XLOOKUP(F421,customers!$B$1:$B$1001,customers!$C$1:$C$1001,,0))</f>
        <v>adanzeybn@github.com</v>
      </c>
      <c r="H421" s="2" t="str">
        <f>_xlfn.XLOOKUP(C421,customers!$A$1:$A$1001,customers!$G$1:$G$1001,,0)</f>
        <v>United States</v>
      </c>
      <c r="I421" t="str">
        <f>_xlfn.XLOOKUP(D421,products!$A$1:$A$49,products!$B$1:$B$49,,0)</f>
        <v>Lib</v>
      </c>
      <c r="J421" t="str">
        <f>_xlfn.XLOOKUP(D421,products!$A$1:$A$49,products!$C$1:$C$49,,0)</f>
        <v>M</v>
      </c>
      <c r="K421" s="5">
        <f>_xlfn.XLOOKUP(D421,products!$A$1:$A$49,products!$D$1:$D$49,,0)</f>
        <v>0.5</v>
      </c>
      <c r="L421" s="7">
        <f>_xlfn.XLOOKUP(D421,products!$A$1:$A$49,products!$E$1:$E$49,,0)</f>
        <v>8.73</v>
      </c>
      <c r="M421" s="7">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IF(_xlfn.XLOOKUP(F422,customers!$B$1:$B$1001,customers!$C$1:$C$1001,,0)=0,"",_xlfn.XLOOKUP(F422,customers!$B$1:$B$1001,customers!$C$1:$C$1001,,0))</f>
        <v>tfarraac@behance.net</v>
      </c>
      <c r="H422" s="2" t="str">
        <f>_xlfn.XLOOKUP(C422,customers!$A$1:$A$1001,customers!$G$1:$G$1001,,0)</f>
        <v>United States</v>
      </c>
      <c r="I422" t="str">
        <f>_xlfn.XLOOKUP(D422,products!$A$1:$A$49,products!$B$1:$B$49,,0)</f>
        <v>Lib</v>
      </c>
      <c r="J422" t="str">
        <f>_xlfn.XLOOKUP(D422,products!$A$1:$A$49,products!$C$1:$C$49,,0)</f>
        <v>D</v>
      </c>
      <c r="K422" s="5">
        <f>_xlfn.XLOOKUP(D422,products!$A$1:$A$49,products!$D$1:$D$49,,0)</f>
        <v>0.5</v>
      </c>
      <c r="L422" s="7">
        <f>_xlfn.XLOOKUP(D422,products!$A$1:$A$49,products!$E$1:$E$49,,0)</f>
        <v>7.77</v>
      </c>
      <c r="M422" s="7">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IF(_xlfn.XLOOKUP(F423,customers!$B$1:$B$1001,customers!$C$1:$C$1001,,0)=0,"",_xlfn.XLOOKUP(F423,customers!$B$1:$B$1001,customers!$C$1:$C$1001,,0))</f>
        <v>tfarraac@behance.net</v>
      </c>
      <c r="H423" s="2" t="str">
        <f>_xlfn.XLOOKUP(C423,customers!$A$1:$A$1001,customers!$G$1:$G$1001,,0)</f>
        <v>United States</v>
      </c>
      <c r="I423" t="str">
        <f>_xlfn.XLOOKUP(D423,products!$A$1:$A$49,products!$B$1:$B$49,,0)</f>
        <v>Ara</v>
      </c>
      <c r="J423" t="str">
        <f>_xlfn.XLOOKUP(D423,products!$A$1:$A$49,products!$C$1:$C$49,,0)</f>
        <v>D</v>
      </c>
      <c r="K423" s="5">
        <f>_xlfn.XLOOKUP(D423,products!$A$1:$A$49,products!$D$1:$D$49,,0)</f>
        <v>2.5</v>
      </c>
      <c r="L423" s="7">
        <f>_xlfn.XLOOKUP(D423,products!$A$1:$A$49,products!$E$1:$E$49,,0)</f>
        <v>22.884999999999998</v>
      </c>
      <c r="M423" s="7">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IF(_xlfn.XLOOKUP(F424,customers!$B$1:$B$1001,customers!$C$1:$C$1001,,0)=0,"",_xlfn.XLOOKUP(F424,customers!$B$1:$B$1001,customers!$C$1:$C$1001,,0))</f>
        <v/>
      </c>
      <c r="H424" s="2" t="str">
        <f>_xlfn.XLOOKUP(C424,customers!$A$1:$A$1001,customers!$G$1:$G$1001,,0)</f>
        <v>United States</v>
      </c>
      <c r="I424" t="str">
        <f>_xlfn.XLOOKUP(D424,products!$A$1:$A$49,products!$B$1:$B$49,,0)</f>
        <v>Ara</v>
      </c>
      <c r="J424" t="str">
        <f>_xlfn.XLOOKUP(D424,products!$A$1:$A$49,products!$C$1:$C$49,,0)</f>
        <v>D</v>
      </c>
      <c r="K424" s="5">
        <f>_xlfn.XLOOKUP(D424,products!$A$1:$A$49,products!$D$1:$D$49,,0)</f>
        <v>0.5</v>
      </c>
      <c r="L424" s="7">
        <f>_xlfn.XLOOKUP(D424,products!$A$1:$A$49,products!$E$1:$E$49,,0)</f>
        <v>5.97</v>
      </c>
      <c r="M424" s="7">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IF(_xlfn.XLOOKUP(F425,customers!$B$1:$B$1001,customers!$C$1:$C$1001,,0)=0,"",_xlfn.XLOOKUP(F425,customers!$B$1:$B$1001,customers!$C$1:$C$1001,,0))</f>
        <v/>
      </c>
      <c r="H425" s="2" t="str">
        <f>_xlfn.XLOOKUP(C425,customers!$A$1:$A$1001,customers!$G$1:$G$1001,,0)</f>
        <v>United States</v>
      </c>
      <c r="I425" t="str">
        <f>_xlfn.XLOOKUP(D425,products!$A$1:$A$49,products!$B$1:$B$49,,0)</f>
        <v>Rob</v>
      </c>
      <c r="J425" t="str">
        <f>_xlfn.XLOOKUP(D425,products!$A$1:$A$49,products!$C$1:$C$49,,0)</f>
        <v>M</v>
      </c>
      <c r="K425" s="5">
        <f>_xlfn.XLOOKUP(D425,products!$A$1:$A$49,products!$D$1:$D$49,,0)</f>
        <v>0.5</v>
      </c>
      <c r="L425" s="7">
        <f>_xlfn.XLOOKUP(D425,products!$A$1:$A$49,products!$E$1:$E$49,,0)</f>
        <v>5.97</v>
      </c>
      <c r="M425" s="7">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IF(_xlfn.XLOOKUP(F426,customers!$B$1:$B$1001,customers!$C$1:$C$1001,,0)=0,"",_xlfn.XLOOKUP(F426,customers!$B$1:$B$1001,customers!$C$1:$C$1001,,0))</f>
        <v>ydombrellbs@dedecms.com</v>
      </c>
      <c r="H426" s="2" t="str">
        <f>_xlfn.XLOOKUP(C426,customers!$A$1:$A$1001,customers!$G$1:$G$1001,,0)</f>
        <v>United States</v>
      </c>
      <c r="I426" t="str">
        <f>_xlfn.XLOOKUP(D426,products!$A$1:$A$49,products!$B$1:$B$49,,0)</f>
        <v>Exc</v>
      </c>
      <c r="J426" t="str">
        <f>_xlfn.XLOOKUP(D426,products!$A$1:$A$49,products!$C$1:$C$49,,0)</f>
        <v>L</v>
      </c>
      <c r="K426" s="5">
        <f>_xlfn.XLOOKUP(D426,products!$A$1:$A$49,products!$D$1:$D$49,,0)</f>
        <v>0.5</v>
      </c>
      <c r="L426" s="7">
        <f>_xlfn.XLOOKUP(D426,products!$A$1:$A$49,products!$E$1:$E$49,,0)</f>
        <v>8.91</v>
      </c>
      <c r="M426" s="7">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IF(_xlfn.XLOOKUP(F427,customers!$B$1:$B$1001,customers!$C$1:$C$1001,,0)=0,"",_xlfn.XLOOKUP(F427,customers!$B$1:$B$1001,customers!$C$1:$C$1001,,0))</f>
        <v>adarthbt@t.co</v>
      </c>
      <c r="H427" s="2" t="str">
        <f>_xlfn.XLOOKUP(C427,customers!$A$1:$A$1001,customers!$G$1:$G$1001,,0)</f>
        <v>United States</v>
      </c>
      <c r="I427" t="str">
        <f>_xlfn.XLOOKUP(D427,products!$A$1:$A$49,products!$B$1:$B$49,,0)</f>
        <v>Rob</v>
      </c>
      <c r="J427" t="str">
        <f>_xlfn.XLOOKUP(D427,products!$A$1:$A$49,products!$C$1:$C$49,,0)</f>
        <v>D</v>
      </c>
      <c r="K427" s="5">
        <f>_xlfn.XLOOKUP(D427,products!$A$1:$A$49,products!$D$1:$D$49,,0)</f>
        <v>1</v>
      </c>
      <c r="L427" s="7">
        <f>_xlfn.XLOOKUP(D427,products!$A$1:$A$49,products!$E$1:$E$49,,0)</f>
        <v>8.9499999999999993</v>
      </c>
      <c r="M427" s="7">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IF(_xlfn.XLOOKUP(F428,customers!$B$1:$B$1001,customers!$C$1:$C$1001,,0)=0,"",_xlfn.XLOOKUP(F428,customers!$B$1:$B$1001,customers!$C$1:$C$1001,,0))</f>
        <v>mdarrigoebu@hud.gov</v>
      </c>
      <c r="H428" s="2" t="str">
        <f>_xlfn.XLOOKUP(C428,customers!$A$1:$A$1001,customers!$G$1:$G$1001,,0)</f>
        <v>Ireland</v>
      </c>
      <c r="I428" t="str">
        <f>_xlfn.XLOOKUP(D428,products!$A$1:$A$49,products!$B$1:$B$49,,0)</f>
        <v>Rob</v>
      </c>
      <c r="J428" t="str">
        <f>_xlfn.XLOOKUP(D428,products!$A$1:$A$49,products!$C$1:$C$49,,0)</f>
        <v>L</v>
      </c>
      <c r="K428" s="5">
        <f>_xlfn.XLOOKUP(D428,products!$A$1:$A$49,products!$D$1:$D$49,,0)</f>
        <v>0.2</v>
      </c>
      <c r="L428" s="7">
        <f>_xlfn.XLOOKUP(D428,products!$A$1:$A$49,products!$E$1:$E$49,,0)</f>
        <v>3.5849999999999995</v>
      </c>
      <c r="M428" s="7">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IF(_xlfn.XLOOKUP(F429,customers!$B$1:$B$1001,customers!$C$1:$C$1001,,0)=0,"",_xlfn.XLOOKUP(F429,customers!$B$1:$B$1001,customers!$C$1:$C$1001,,0))</f>
        <v/>
      </c>
      <c r="H429" s="2" t="str">
        <f>_xlfn.XLOOKUP(C429,customers!$A$1:$A$1001,customers!$G$1:$G$1001,,0)</f>
        <v>United States</v>
      </c>
      <c r="I429" t="str">
        <f>_xlfn.XLOOKUP(D429,products!$A$1:$A$49,products!$B$1:$B$49,,0)</f>
        <v>Ara</v>
      </c>
      <c r="J429" t="str">
        <f>_xlfn.XLOOKUP(D429,products!$A$1:$A$49,products!$C$1:$C$49,,0)</f>
        <v>M</v>
      </c>
      <c r="K429" s="5">
        <f>_xlfn.XLOOKUP(D429,products!$A$1:$A$49,products!$D$1:$D$49,,0)</f>
        <v>2.5</v>
      </c>
      <c r="L429" s="7">
        <f>_xlfn.XLOOKUP(D429,products!$A$1:$A$49,products!$E$1:$E$49,,0)</f>
        <v>25.874999999999996</v>
      </c>
      <c r="M429" s="7">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IF(_xlfn.XLOOKUP(F430,customers!$B$1:$B$1001,customers!$C$1:$C$1001,,0)=0,"",_xlfn.XLOOKUP(F430,customers!$B$1:$B$1001,customers!$C$1:$C$1001,,0))</f>
        <v>mackrillbw@bandcamp.com</v>
      </c>
      <c r="H430" s="2" t="str">
        <f>_xlfn.XLOOKUP(C430,customers!$A$1:$A$1001,customers!$G$1:$G$1001,,0)</f>
        <v>United States</v>
      </c>
      <c r="I430" t="str">
        <f>_xlfn.XLOOKUP(D430,products!$A$1:$A$49,products!$B$1:$B$49,,0)</f>
        <v>Rob</v>
      </c>
      <c r="J430" t="str">
        <f>_xlfn.XLOOKUP(D430,products!$A$1:$A$49,products!$C$1:$C$49,,0)</f>
        <v>L</v>
      </c>
      <c r="K430" s="5">
        <f>_xlfn.XLOOKUP(D430,products!$A$1:$A$49,products!$D$1:$D$49,,0)</f>
        <v>1</v>
      </c>
      <c r="L430" s="7">
        <f>_xlfn.XLOOKUP(D430,products!$A$1:$A$49,products!$E$1:$E$49,,0)</f>
        <v>11.95</v>
      </c>
      <c r="M430" s="7">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IF(_xlfn.XLOOKUP(F431,customers!$B$1:$B$1001,customers!$C$1:$C$1001,,0)=0,"",_xlfn.XLOOKUP(F431,customers!$B$1:$B$1001,customers!$C$1:$C$1001,,0))</f>
        <v>tfarraac@behance.net</v>
      </c>
      <c r="H431" s="2" t="str">
        <f>_xlfn.XLOOKUP(C431,customers!$A$1:$A$1001,customers!$G$1:$G$1001,,0)</f>
        <v>United States</v>
      </c>
      <c r="I431" t="str">
        <f>_xlfn.XLOOKUP(D431,products!$A$1:$A$49,products!$B$1:$B$49,,0)</f>
        <v>Ara</v>
      </c>
      <c r="J431" t="str">
        <f>_xlfn.XLOOKUP(D431,products!$A$1:$A$49,products!$C$1:$C$49,,0)</f>
        <v>L</v>
      </c>
      <c r="K431" s="5">
        <f>_xlfn.XLOOKUP(D431,products!$A$1:$A$49,products!$D$1:$D$49,,0)</f>
        <v>1</v>
      </c>
      <c r="L431" s="7">
        <f>_xlfn.XLOOKUP(D431,products!$A$1:$A$49,products!$E$1:$E$49,,0)</f>
        <v>12.95</v>
      </c>
      <c r="M431" s="7">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IF(_xlfn.XLOOKUP(F432,customers!$B$1:$B$1001,customers!$C$1:$C$1001,,0)=0,"",_xlfn.XLOOKUP(F432,customers!$B$1:$B$1001,customers!$C$1:$C$1001,,0))</f>
        <v>mkippenby@dion.ne.jp</v>
      </c>
      <c r="H432" s="2" t="str">
        <f>_xlfn.XLOOKUP(C432,customers!$A$1:$A$1001,customers!$G$1:$G$1001,,0)</f>
        <v>United States</v>
      </c>
      <c r="I432" t="str">
        <f>_xlfn.XLOOKUP(D432,products!$A$1:$A$49,products!$B$1:$B$49,,0)</f>
        <v>Rob</v>
      </c>
      <c r="J432" t="str">
        <f>_xlfn.XLOOKUP(D432,products!$A$1:$A$49,products!$C$1:$C$49,,0)</f>
        <v>D</v>
      </c>
      <c r="K432" s="5">
        <f>_xlfn.XLOOKUP(D432,products!$A$1:$A$49,products!$D$1:$D$49,,0)</f>
        <v>0.2</v>
      </c>
      <c r="L432" s="7">
        <f>_xlfn.XLOOKUP(D432,products!$A$1:$A$49,products!$E$1:$E$49,,0)</f>
        <v>2.6849999999999996</v>
      </c>
      <c r="M432" s="7">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IF(_xlfn.XLOOKUP(F433,customers!$B$1:$B$1001,customers!$C$1:$C$1001,,0)=0,"",_xlfn.XLOOKUP(F433,customers!$B$1:$B$1001,customers!$C$1:$C$1001,,0))</f>
        <v>wransonbz@ted.com</v>
      </c>
      <c r="H433" s="2" t="str">
        <f>_xlfn.XLOOKUP(C433,customers!$A$1:$A$1001,customers!$G$1:$G$1001,,0)</f>
        <v>Ireland</v>
      </c>
      <c r="I433" t="str">
        <f>_xlfn.XLOOKUP(D433,products!$A$1:$A$49,products!$B$1:$B$49,,0)</f>
        <v>Exc</v>
      </c>
      <c r="J433" t="str">
        <f>_xlfn.XLOOKUP(D433,products!$A$1:$A$49,products!$C$1:$C$49,,0)</f>
        <v>D</v>
      </c>
      <c r="K433" s="5">
        <f>_xlfn.XLOOKUP(D433,products!$A$1:$A$49,products!$D$1:$D$49,,0)</f>
        <v>2.5</v>
      </c>
      <c r="L433" s="7">
        <f>_xlfn.XLOOKUP(D433,products!$A$1:$A$49,products!$E$1:$E$49,,0)</f>
        <v>27.945</v>
      </c>
      <c r="M433" s="7">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IF(_xlfn.XLOOKUP(F434,customers!$B$1:$B$1001,customers!$C$1:$C$1001,,0)=0,"",_xlfn.XLOOKUP(F434,customers!$B$1:$B$1001,customers!$C$1:$C$1001,,0))</f>
        <v/>
      </c>
      <c r="H434" s="2" t="str">
        <f>_xlfn.XLOOKUP(C434,customers!$A$1:$A$1001,customers!$G$1:$G$1001,,0)</f>
        <v>United States</v>
      </c>
      <c r="I434" t="str">
        <f>_xlfn.XLOOKUP(D434,products!$A$1:$A$49,products!$B$1:$B$49,,0)</f>
        <v>Ara</v>
      </c>
      <c r="J434" t="str">
        <f>_xlfn.XLOOKUP(D434,products!$A$1:$A$49,products!$C$1:$C$49,,0)</f>
        <v>M</v>
      </c>
      <c r="K434" s="5">
        <f>_xlfn.XLOOKUP(D434,products!$A$1:$A$49,products!$D$1:$D$49,,0)</f>
        <v>1</v>
      </c>
      <c r="L434" s="7">
        <f>_xlfn.XLOOKUP(D434,products!$A$1:$A$49,products!$E$1:$E$49,,0)</f>
        <v>11.25</v>
      </c>
      <c r="M434" s="7">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IF(_xlfn.XLOOKUP(F435,customers!$B$1:$B$1001,customers!$C$1:$C$1001,,0)=0,"",_xlfn.XLOOKUP(F435,customers!$B$1:$B$1001,customers!$C$1:$C$1001,,0))</f>
        <v>lrignoldc1@miibeian.gov.cn</v>
      </c>
      <c r="H435" s="2" t="str">
        <f>_xlfn.XLOOKUP(C435,customers!$A$1:$A$1001,customers!$G$1:$G$1001,,0)</f>
        <v>United States</v>
      </c>
      <c r="I435" t="str">
        <f>_xlfn.XLOOKUP(D435,products!$A$1:$A$49,products!$B$1:$B$49,,0)</f>
        <v>Lib</v>
      </c>
      <c r="J435" t="str">
        <f>_xlfn.XLOOKUP(D435,products!$A$1:$A$49,products!$C$1:$C$49,,0)</f>
        <v>M</v>
      </c>
      <c r="K435" s="5">
        <f>_xlfn.XLOOKUP(D435,products!$A$1:$A$49,products!$D$1:$D$49,,0)</f>
        <v>2.5</v>
      </c>
      <c r="L435" s="7">
        <f>_xlfn.XLOOKUP(D435,products!$A$1:$A$49,products!$E$1:$E$49,,0)</f>
        <v>33.464999999999996</v>
      </c>
      <c r="M435" s="7">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IF(_xlfn.XLOOKUP(F436,customers!$B$1:$B$1001,customers!$C$1:$C$1001,,0)=0,"",_xlfn.XLOOKUP(F436,customers!$B$1:$B$1001,customers!$C$1:$C$1001,,0))</f>
        <v/>
      </c>
      <c r="H436" s="2" t="str">
        <f>_xlfn.XLOOKUP(C436,customers!$A$1:$A$1001,customers!$G$1:$G$1001,,0)</f>
        <v>United States</v>
      </c>
      <c r="I436" t="str">
        <f>_xlfn.XLOOKUP(D436,products!$A$1:$A$49,products!$B$1:$B$49,,0)</f>
        <v>Ara</v>
      </c>
      <c r="J436" t="str">
        <f>_xlfn.XLOOKUP(D436,products!$A$1:$A$49,products!$C$1:$C$49,,0)</f>
        <v>M</v>
      </c>
      <c r="K436" s="5">
        <f>_xlfn.XLOOKUP(D436,products!$A$1:$A$49,products!$D$1:$D$49,,0)</f>
        <v>1</v>
      </c>
      <c r="L436" s="7">
        <f>_xlfn.XLOOKUP(D436,products!$A$1:$A$49,products!$E$1:$E$49,,0)</f>
        <v>11.25</v>
      </c>
      <c r="M436" s="7">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IF(_xlfn.XLOOKUP(F437,customers!$B$1:$B$1001,customers!$C$1:$C$1001,,0)=0,"",_xlfn.XLOOKUP(F437,customers!$B$1:$B$1001,customers!$C$1:$C$1001,,0))</f>
        <v>crowthornc3@msn.com</v>
      </c>
      <c r="H437" s="2" t="str">
        <f>_xlfn.XLOOKUP(C437,customers!$A$1:$A$1001,customers!$G$1:$G$1001,,0)</f>
        <v>United States</v>
      </c>
      <c r="I437" t="str">
        <f>_xlfn.XLOOKUP(D437,products!$A$1:$A$49,products!$B$1:$B$49,,0)</f>
        <v>Exc</v>
      </c>
      <c r="J437" t="str">
        <f>_xlfn.XLOOKUP(D437,products!$A$1:$A$49,products!$C$1:$C$49,,0)</f>
        <v>M</v>
      </c>
      <c r="K437" s="5">
        <f>_xlfn.XLOOKUP(D437,products!$A$1:$A$49,products!$D$1:$D$49,,0)</f>
        <v>0.5</v>
      </c>
      <c r="L437" s="7">
        <f>_xlfn.XLOOKUP(D437,products!$A$1:$A$49,products!$E$1:$E$49,,0)</f>
        <v>8.25</v>
      </c>
      <c r="M437" s="7">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IF(_xlfn.XLOOKUP(F438,customers!$B$1:$B$1001,customers!$C$1:$C$1001,,0)=0,"",_xlfn.XLOOKUP(F438,customers!$B$1:$B$1001,customers!$C$1:$C$1001,,0))</f>
        <v>orylandc4@deviantart.com</v>
      </c>
      <c r="H438" s="2" t="str">
        <f>_xlfn.XLOOKUP(C438,customers!$A$1:$A$1001,customers!$G$1:$G$1001,,0)</f>
        <v>United States</v>
      </c>
      <c r="I438" t="str">
        <f>_xlfn.XLOOKUP(D438,products!$A$1:$A$49,products!$B$1:$B$49,,0)</f>
        <v>Lib</v>
      </c>
      <c r="J438" t="str">
        <f>_xlfn.XLOOKUP(D438,products!$A$1:$A$49,products!$C$1:$C$49,,0)</f>
        <v>L</v>
      </c>
      <c r="K438" s="5">
        <f>_xlfn.XLOOKUP(D438,products!$A$1:$A$49,products!$D$1:$D$49,,0)</f>
        <v>0.2</v>
      </c>
      <c r="L438" s="7">
        <f>_xlfn.XLOOKUP(D438,products!$A$1:$A$49,products!$E$1:$E$49,,0)</f>
        <v>4.7549999999999999</v>
      </c>
      <c r="M438" s="7">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IF(_xlfn.XLOOKUP(F439,customers!$B$1:$B$1001,customers!$C$1:$C$1001,,0)=0,"",_xlfn.XLOOKUP(F439,customers!$B$1:$B$1001,customers!$C$1:$C$1001,,0))</f>
        <v/>
      </c>
      <c r="H439" s="2" t="str">
        <f>_xlfn.XLOOKUP(C439,customers!$A$1:$A$1001,customers!$G$1:$G$1001,,0)</f>
        <v>United States</v>
      </c>
      <c r="I439" t="str">
        <f>_xlfn.XLOOKUP(D439,products!$A$1:$A$49,products!$B$1:$B$49,,0)</f>
        <v>Lib</v>
      </c>
      <c r="J439" t="str">
        <f>_xlfn.XLOOKUP(D439,products!$A$1:$A$49,products!$C$1:$C$49,,0)</f>
        <v>D</v>
      </c>
      <c r="K439" s="5">
        <f>_xlfn.XLOOKUP(D439,products!$A$1:$A$49,products!$D$1:$D$49,,0)</f>
        <v>2.5</v>
      </c>
      <c r="L439" s="7">
        <f>_xlfn.XLOOKUP(D439,products!$A$1:$A$49,products!$E$1:$E$49,,0)</f>
        <v>29.784999999999997</v>
      </c>
      <c r="M439" s="7">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IF(_xlfn.XLOOKUP(F440,customers!$B$1:$B$1001,customers!$C$1:$C$1001,,0)=0,"",_xlfn.XLOOKUP(F440,customers!$B$1:$B$1001,customers!$C$1:$C$1001,,0))</f>
        <v>msesonck@census.gov</v>
      </c>
      <c r="H440" s="2" t="str">
        <f>_xlfn.XLOOKUP(C440,customers!$A$1:$A$1001,customers!$G$1:$G$1001,,0)</f>
        <v>United States</v>
      </c>
      <c r="I440" t="str">
        <f>_xlfn.XLOOKUP(D440,products!$A$1:$A$49,products!$B$1:$B$49,,0)</f>
        <v>Lib</v>
      </c>
      <c r="J440" t="str">
        <f>_xlfn.XLOOKUP(D440,products!$A$1:$A$49,products!$C$1:$C$49,,0)</f>
        <v>D</v>
      </c>
      <c r="K440" s="5">
        <f>_xlfn.XLOOKUP(D440,products!$A$1:$A$49,products!$D$1:$D$49,,0)</f>
        <v>0.5</v>
      </c>
      <c r="L440" s="7">
        <f>_xlfn.XLOOKUP(D440,products!$A$1:$A$49,products!$E$1:$E$49,,0)</f>
        <v>7.77</v>
      </c>
      <c r="M440" s="7">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IF(_xlfn.XLOOKUP(F441,customers!$B$1:$B$1001,customers!$C$1:$C$1001,,0)=0,"",_xlfn.XLOOKUP(F441,customers!$B$1:$B$1001,customers!$C$1:$C$1001,,0))</f>
        <v>craglessc7@webmd.com</v>
      </c>
      <c r="H441" s="2" t="str">
        <f>_xlfn.XLOOKUP(C441,customers!$A$1:$A$1001,customers!$G$1:$G$1001,,0)</f>
        <v>Ireland</v>
      </c>
      <c r="I441" t="str">
        <f>_xlfn.XLOOKUP(D441,products!$A$1:$A$49,products!$B$1:$B$49,,0)</f>
        <v>Exc</v>
      </c>
      <c r="J441" t="str">
        <f>_xlfn.XLOOKUP(D441,products!$A$1:$A$49,products!$C$1:$C$49,,0)</f>
        <v>L</v>
      </c>
      <c r="K441" s="5">
        <f>_xlfn.XLOOKUP(D441,products!$A$1:$A$49,products!$D$1:$D$49,,0)</f>
        <v>0.5</v>
      </c>
      <c r="L441" s="7">
        <f>_xlfn.XLOOKUP(D441,products!$A$1:$A$49,products!$E$1:$E$49,,0)</f>
        <v>8.91</v>
      </c>
      <c r="M441" s="7">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IF(_xlfn.XLOOKUP(F442,customers!$B$1:$B$1001,customers!$C$1:$C$1001,,0)=0,"",_xlfn.XLOOKUP(F442,customers!$B$1:$B$1001,customers!$C$1:$C$1001,,0))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5">
        <f>_xlfn.XLOOKUP(D442,products!$A$1:$A$49,products!$D$1:$D$49,,0)</f>
        <v>2.5</v>
      </c>
      <c r="L442" s="7">
        <f>_xlfn.XLOOKUP(D442,products!$A$1:$A$49,products!$E$1:$E$49,,0)</f>
        <v>25.874999999999996</v>
      </c>
      <c r="M442" s="7">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IF(_xlfn.XLOOKUP(F443,customers!$B$1:$B$1001,customers!$C$1:$C$1001,,0)=0,"",_xlfn.XLOOKUP(F443,customers!$B$1:$B$1001,customers!$C$1:$C$1001,,0))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5">
        <f>_xlfn.XLOOKUP(D443,products!$A$1:$A$49,products!$D$1:$D$49,,0)</f>
        <v>1</v>
      </c>
      <c r="L443" s="7">
        <f>_xlfn.XLOOKUP(D443,products!$A$1:$A$49,products!$E$1:$E$49,,0)</f>
        <v>12.15</v>
      </c>
      <c r="M443" s="7">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IF(_xlfn.XLOOKUP(F444,customers!$B$1:$B$1001,customers!$C$1:$C$1001,,0)=0,"",_xlfn.XLOOKUP(F444,customers!$B$1:$B$1001,customers!$C$1:$C$1001,,0))</f>
        <v>kheadsca@jalbum.net</v>
      </c>
      <c r="H444" s="2" t="str">
        <f>_xlfn.XLOOKUP(C444,customers!$A$1:$A$1001,customers!$G$1:$G$1001,,0)</f>
        <v>United States</v>
      </c>
      <c r="I444" t="str">
        <f>_xlfn.XLOOKUP(D444,products!$A$1:$A$49,products!$B$1:$B$49,,0)</f>
        <v>Rob</v>
      </c>
      <c r="J444" t="str">
        <f>_xlfn.XLOOKUP(D444,products!$A$1:$A$49,products!$C$1:$C$49,,0)</f>
        <v>L</v>
      </c>
      <c r="K444" s="5">
        <f>_xlfn.XLOOKUP(D444,products!$A$1:$A$49,products!$D$1:$D$49,,0)</f>
        <v>0.5</v>
      </c>
      <c r="L444" s="7">
        <f>_xlfn.XLOOKUP(D444,products!$A$1:$A$49,products!$E$1:$E$49,,0)</f>
        <v>7.169999999999999</v>
      </c>
      <c r="M444" s="7">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IF(_xlfn.XLOOKUP(F445,customers!$B$1:$B$1001,customers!$C$1:$C$1001,,0)=0,"",_xlfn.XLOOKUP(F445,customers!$B$1:$B$1001,customers!$C$1:$C$1001,,0))</f>
        <v>tbownecb@unicef.org</v>
      </c>
      <c r="H445" s="2" t="str">
        <f>_xlfn.XLOOKUP(C445,customers!$A$1:$A$1001,customers!$G$1:$G$1001,,0)</f>
        <v>Ireland</v>
      </c>
      <c r="I445" t="str">
        <f>_xlfn.XLOOKUP(D445,products!$A$1:$A$49,products!$B$1:$B$49,,0)</f>
        <v>Exc</v>
      </c>
      <c r="J445" t="str">
        <f>_xlfn.XLOOKUP(D445,products!$A$1:$A$49,products!$C$1:$C$49,,0)</f>
        <v>L</v>
      </c>
      <c r="K445" s="5">
        <f>_xlfn.XLOOKUP(D445,products!$A$1:$A$49,products!$D$1:$D$49,,0)</f>
        <v>0.2</v>
      </c>
      <c r="L445" s="7">
        <f>_xlfn.XLOOKUP(D445,products!$A$1:$A$49,products!$E$1:$E$49,,0)</f>
        <v>4.4550000000000001</v>
      </c>
      <c r="M445" s="7">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IF(_xlfn.XLOOKUP(F446,customers!$B$1:$B$1001,customers!$C$1:$C$1001,,0)=0,"",_xlfn.XLOOKUP(F446,customers!$B$1:$B$1001,customers!$C$1:$C$1001,,0))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5">
        <f>_xlfn.XLOOKUP(D446,products!$A$1:$A$49,products!$D$1:$D$49,,0)</f>
        <v>0.2</v>
      </c>
      <c r="L446" s="7">
        <f>_xlfn.XLOOKUP(D446,products!$A$1:$A$49,products!$E$1:$E$49,,0)</f>
        <v>4.125</v>
      </c>
      <c r="M446" s="7">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IF(_xlfn.XLOOKUP(F447,customers!$B$1:$B$1001,customers!$C$1:$C$1001,,0)=0,"",_xlfn.XLOOKUP(F447,customers!$B$1:$B$1001,customers!$C$1:$C$1001,,0))</f>
        <v>kwarmancd@printfriendly.com</v>
      </c>
      <c r="H447" s="2" t="str">
        <f>_xlfn.XLOOKUP(C447,customers!$A$1:$A$1001,customers!$G$1:$G$1001,,0)</f>
        <v>Ireland</v>
      </c>
      <c r="I447" t="str">
        <f>_xlfn.XLOOKUP(D447,products!$A$1:$A$49,products!$B$1:$B$49,,0)</f>
        <v>Lib</v>
      </c>
      <c r="J447" t="str">
        <f>_xlfn.XLOOKUP(D447,products!$A$1:$A$49,products!$C$1:$C$49,,0)</f>
        <v>M</v>
      </c>
      <c r="K447" s="5">
        <f>_xlfn.XLOOKUP(D447,products!$A$1:$A$49,products!$D$1:$D$49,,0)</f>
        <v>2.5</v>
      </c>
      <c r="L447" s="7">
        <f>_xlfn.XLOOKUP(D447,products!$A$1:$A$49,products!$E$1:$E$49,,0)</f>
        <v>33.464999999999996</v>
      </c>
      <c r="M447" s="7">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IF(_xlfn.XLOOKUP(F448,customers!$B$1:$B$1001,customers!$C$1:$C$1001,,0)=0,"",_xlfn.XLOOKUP(F448,customers!$B$1:$B$1001,customers!$C$1:$C$1001,,0))</f>
        <v>wcholomince@about.com</v>
      </c>
      <c r="H448" s="2" t="str">
        <f>_xlfn.XLOOKUP(C448,customers!$A$1:$A$1001,customers!$G$1:$G$1001,,0)</f>
        <v>United Kingdom</v>
      </c>
      <c r="I448" t="str">
        <f>_xlfn.XLOOKUP(D448,products!$A$1:$A$49,products!$B$1:$B$49,,0)</f>
        <v>Lib</v>
      </c>
      <c r="J448" t="str">
        <f>_xlfn.XLOOKUP(D448,products!$A$1:$A$49,products!$C$1:$C$49,,0)</f>
        <v>M</v>
      </c>
      <c r="K448" s="5">
        <f>_xlfn.XLOOKUP(D448,products!$A$1:$A$49,products!$D$1:$D$49,,0)</f>
        <v>0.5</v>
      </c>
      <c r="L448" s="7">
        <f>_xlfn.XLOOKUP(D448,products!$A$1:$A$49,products!$E$1:$E$49,,0)</f>
        <v>8.73</v>
      </c>
      <c r="M448" s="7">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IF(_xlfn.XLOOKUP(F449,customers!$B$1:$B$1001,customers!$C$1:$C$1001,,0)=0,"",_xlfn.XLOOKUP(F449,customers!$B$1:$B$1001,customers!$C$1:$C$1001,,0))</f>
        <v>abraidmancf@census.gov</v>
      </c>
      <c r="H449" s="2" t="str">
        <f>_xlfn.XLOOKUP(C449,customers!$A$1:$A$1001,customers!$G$1:$G$1001,,0)</f>
        <v>United States</v>
      </c>
      <c r="I449" t="str">
        <f>_xlfn.XLOOKUP(D449,products!$A$1:$A$49,products!$B$1:$B$49,,0)</f>
        <v>Rob</v>
      </c>
      <c r="J449" t="str">
        <f>_xlfn.XLOOKUP(D449,products!$A$1:$A$49,products!$C$1:$C$49,,0)</f>
        <v>M</v>
      </c>
      <c r="K449" s="5">
        <f>_xlfn.XLOOKUP(D449,products!$A$1:$A$49,products!$D$1:$D$49,,0)</f>
        <v>0.5</v>
      </c>
      <c r="L449" s="7">
        <f>_xlfn.XLOOKUP(D449,products!$A$1:$A$49,products!$E$1:$E$49,,0)</f>
        <v>5.97</v>
      </c>
      <c r="M449" s="7">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IF(_xlfn.XLOOKUP(F450,customers!$B$1:$B$1001,customers!$C$1:$C$1001,,0)=0,"",_xlfn.XLOOKUP(F450,customers!$B$1:$B$1001,customers!$C$1:$C$1001,,0))</f>
        <v>pdurbancg@symantec.com</v>
      </c>
      <c r="H450" s="2" t="str">
        <f>_xlfn.XLOOKUP(C450,customers!$A$1:$A$1001,customers!$G$1:$G$1001,,0)</f>
        <v>Ireland</v>
      </c>
      <c r="I450" t="str">
        <f>_xlfn.XLOOKUP(D450,products!$A$1:$A$49,products!$B$1:$B$49,,0)</f>
        <v>Rob</v>
      </c>
      <c r="J450" t="str">
        <f>_xlfn.XLOOKUP(D450,products!$A$1:$A$49,products!$C$1:$C$49,,0)</f>
        <v>L</v>
      </c>
      <c r="K450" s="5">
        <f>_xlfn.XLOOKUP(D450,products!$A$1:$A$49,products!$D$1:$D$49,,0)</f>
        <v>0.5</v>
      </c>
      <c r="L450" s="7">
        <f>_xlfn.XLOOKUP(D450,products!$A$1:$A$49,products!$E$1:$E$49,,0)</f>
        <v>7.169999999999999</v>
      </c>
      <c r="M450" s="7">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IF(_xlfn.XLOOKUP(F451,customers!$B$1:$B$1001,customers!$C$1:$C$1001,,0)=0,"",_xlfn.XLOOKUP(F451,customers!$B$1:$B$1001,customers!$C$1:$C$1001,,0))</f>
        <v>aharroldch@miibeian.gov.cn</v>
      </c>
      <c r="H451" s="2" t="str">
        <f>_xlfn.XLOOKUP(C451,customers!$A$1:$A$1001,customers!$G$1:$G$1001,,0)</f>
        <v>United States</v>
      </c>
      <c r="I451" t="str">
        <f>_xlfn.XLOOKUP(D451,products!$A$1:$A$49,products!$B$1:$B$49,,0)</f>
        <v>Rob</v>
      </c>
      <c r="J451" t="str">
        <f>_xlfn.XLOOKUP(D451,products!$A$1:$A$49,products!$C$1:$C$49,,0)</f>
        <v>D</v>
      </c>
      <c r="K451" s="5">
        <f>_xlfn.XLOOKUP(D451,products!$A$1:$A$49,products!$D$1:$D$49,,0)</f>
        <v>0.2</v>
      </c>
      <c r="L451" s="7">
        <f>_xlfn.XLOOKUP(D451,products!$A$1:$A$49,products!$E$1:$E$49,,0)</f>
        <v>2.6849999999999996</v>
      </c>
      <c r="M451" s="7">
        <f t="shared" ref="M451:M514" si="21">(L451*E451)</f>
        <v>5.3699999999999992</v>
      </c>
      <c r="N451" t="str">
        <f t="shared" ref="N451:N514" si="22">IF(I451="Rob","Robusta", 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IF(_xlfn.XLOOKUP(F452,customers!$B$1:$B$1001,customers!$C$1:$C$1001,,0)=0,"",_xlfn.XLOOKUP(F452,customers!$B$1:$B$1001,customers!$C$1:$C$1001,,0))</f>
        <v>spamphilonci@mlb.com</v>
      </c>
      <c r="H452" s="2" t="str">
        <f>_xlfn.XLOOKUP(C452,customers!$A$1:$A$1001,customers!$G$1:$G$1001,,0)</f>
        <v>Ireland</v>
      </c>
      <c r="I452" t="str">
        <f>_xlfn.XLOOKUP(D452,products!$A$1:$A$49,products!$B$1:$B$49,,0)</f>
        <v>Lib</v>
      </c>
      <c r="J452" t="str">
        <f>_xlfn.XLOOKUP(D452,products!$A$1:$A$49,products!$C$1:$C$49,,0)</f>
        <v>L</v>
      </c>
      <c r="K452" s="5">
        <f>_xlfn.XLOOKUP(D452,products!$A$1:$A$49,products!$D$1:$D$49,,0)</f>
        <v>0.2</v>
      </c>
      <c r="L452" s="7">
        <f>_xlfn.XLOOKUP(D452,products!$A$1:$A$49,products!$E$1:$E$49,,0)</f>
        <v>4.7549999999999999</v>
      </c>
      <c r="M452" s="7">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IF(_xlfn.XLOOKUP(F453,customers!$B$1:$B$1001,customers!$C$1:$C$1001,,0)=0,"",_xlfn.XLOOKUP(F453,customers!$B$1:$B$1001,customers!$C$1:$C$1001,,0))</f>
        <v>mspurdencj@exblog.jp</v>
      </c>
      <c r="H453" s="2" t="str">
        <f>_xlfn.XLOOKUP(C453,customers!$A$1:$A$1001,customers!$G$1:$G$1001,,0)</f>
        <v>United States</v>
      </c>
      <c r="I453" t="str">
        <f>_xlfn.XLOOKUP(D453,products!$A$1:$A$49,products!$B$1:$B$49,,0)</f>
        <v>Rob</v>
      </c>
      <c r="J453" t="str">
        <f>_xlfn.XLOOKUP(D453,products!$A$1:$A$49,products!$C$1:$C$49,,0)</f>
        <v>D</v>
      </c>
      <c r="K453" s="5">
        <f>_xlfn.XLOOKUP(D453,products!$A$1:$A$49,products!$D$1:$D$49,,0)</f>
        <v>2.5</v>
      </c>
      <c r="L453" s="7">
        <f>_xlfn.XLOOKUP(D453,products!$A$1:$A$49,products!$E$1:$E$49,,0)</f>
        <v>20.584999999999997</v>
      </c>
      <c r="M453" s="7">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IF(_xlfn.XLOOKUP(F454,customers!$B$1:$B$1001,customers!$C$1:$C$1001,,0)=0,"",_xlfn.XLOOKUP(F454,customers!$B$1:$B$1001,customers!$C$1:$C$1001,,0))</f>
        <v>msesonck@census.gov</v>
      </c>
      <c r="H454" s="2" t="str">
        <f>_xlfn.XLOOKUP(C454,customers!$A$1:$A$1001,customers!$G$1:$G$1001,,0)</f>
        <v>United States</v>
      </c>
      <c r="I454" t="str">
        <f>_xlfn.XLOOKUP(D454,products!$A$1:$A$49,products!$B$1:$B$49,,0)</f>
        <v>Ara</v>
      </c>
      <c r="J454" t="str">
        <f>_xlfn.XLOOKUP(D454,products!$A$1:$A$49,products!$C$1:$C$49,,0)</f>
        <v>L</v>
      </c>
      <c r="K454" s="5">
        <f>_xlfn.XLOOKUP(D454,products!$A$1:$A$49,products!$D$1:$D$49,,0)</f>
        <v>0.2</v>
      </c>
      <c r="L454" s="7">
        <f>_xlfn.XLOOKUP(D454,products!$A$1:$A$49,products!$E$1:$E$49,,0)</f>
        <v>3.8849999999999998</v>
      </c>
      <c r="M454" s="7">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IF(_xlfn.XLOOKUP(F455,customers!$B$1:$B$1001,customers!$C$1:$C$1001,,0)=0,"",_xlfn.XLOOKUP(F455,customers!$B$1:$B$1001,customers!$C$1:$C$1001,,0))</f>
        <v>npirronecl@weibo.com</v>
      </c>
      <c r="H455" s="2" t="str">
        <f>_xlfn.XLOOKUP(C455,customers!$A$1:$A$1001,customers!$G$1:$G$1001,,0)</f>
        <v>United States</v>
      </c>
      <c r="I455" t="str">
        <f>_xlfn.XLOOKUP(D455,products!$A$1:$A$49,products!$B$1:$B$49,,0)</f>
        <v>Lib</v>
      </c>
      <c r="J455" t="str">
        <f>_xlfn.XLOOKUP(D455,products!$A$1:$A$49,products!$C$1:$C$49,,0)</f>
        <v>L</v>
      </c>
      <c r="K455" s="5">
        <f>_xlfn.XLOOKUP(D455,products!$A$1:$A$49,products!$D$1:$D$49,,0)</f>
        <v>0.5</v>
      </c>
      <c r="L455" s="7">
        <f>_xlfn.XLOOKUP(D455,products!$A$1:$A$49,products!$E$1:$E$49,,0)</f>
        <v>9.51</v>
      </c>
      <c r="M455" s="7">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IF(_xlfn.XLOOKUP(F456,customers!$B$1:$B$1001,customers!$C$1:$C$1001,,0)=0,"",_xlfn.XLOOKUP(F456,customers!$B$1:$B$1001,customers!$C$1:$C$1001,,0))</f>
        <v>rcawleycm@yellowbook.com</v>
      </c>
      <c r="H456" s="2" t="str">
        <f>_xlfn.XLOOKUP(C456,customers!$A$1:$A$1001,customers!$G$1:$G$1001,,0)</f>
        <v>Ireland</v>
      </c>
      <c r="I456" t="str">
        <f>_xlfn.XLOOKUP(D456,products!$A$1:$A$49,products!$B$1:$B$49,,0)</f>
        <v>Rob</v>
      </c>
      <c r="J456" t="str">
        <f>_xlfn.XLOOKUP(D456,products!$A$1:$A$49,products!$C$1:$C$49,,0)</f>
        <v>D</v>
      </c>
      <c r="K456" s="5">
        <f>_xlfn.XLOOKUP(D456,products!$A$1:$A$49,products!$D$1:$D$49,,0)</f>
        <v>2.5</v>
      </c>
      <c r="L456" s="7">
        <f>_xlfn.XLOOKUP(D456,products!$A$1:$A$49,products!$E$1:$E$49,,0)</f>
        <v>20.584999999999997</v>
      </c>
      <c r="M456" s="7">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IF(_xlfn.XLOOKUP(F457,customers!$B$1:$B$1001,customers!$C$1:$C$1001,,0)=0,"",_xlfn.XLOOKUP(F457,customers!$B$1:$B$1001,customers!$C$1:$C$1001,,0))</f>
        <v>sbarribalcn@microsoft.com</v>
      </c>
      <c r="H457" s="2" t="str">
        <f>_xlfn.XLOOKUP(C457,customers!$A$1:$A$1001,customers!$G$1:$G$1001,,0)</f>
        <v>Ireland</v>
      </c>
      <c r="I457" t="str">
        <f>_xlfn.XLOOKUP(D457,products!$A$1:$A$49,products!$B$1:$B$49,,0)</f>
        <v>Lib</v>
      </c>
      <c r="J457" t="str">
        <f>_xlfn.XLOOKUP(D457,products!$A$1:$A$49,products!$C$1:$C$49,,0)</f>
        <v>L</v>
      </c>
      <c r="K457" s="5">
        <f>_xlfn.XLOOKUP(D457,products!$A$1:$A$49,products!$D$1:$D$49,,0)</f>
        <v>0.2</v>
      </c>
      <c r="L457" s="7">
        <f>_xlfn.XLOOKUP(D457,products!$A$1:$A$49,products!$E$1:$E$49,,0)</f>
        <v>4.7549999999999999</v>
      </c>
      <c r="M457" s="7">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IF(_xlfn.XLOOKUP(F458,customers!$B$1:$B$1001,customers!$C$1:$C$1001,,0)=0,"",_xlfn.XLOOKUP(F458,customers!$B$1:$B$1001,customers!$C$1:$C$1001,,0))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5">
        <f>_xlfn.XLOOKUP(D458,products!$A$1:$A$49,products!$D$1:$D$49,,0)</f>
        <v>2.5</v>
      </c>
      <c r="L458" s="7">
        <f>_xlfn.XLOOKUP(D458,products!$A$1:$A$49,products!$E$1:$E$49,,0)</f>
        <v>20.584999999999997</v>
      </c>
      <c r="M458" s="7">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IF(_xlfn.XLOOKUP(F459,customers!$B$1:$B$1001,customers!$C$1:$C$1001,,0)=0,"",_xlfn.XLOOKUP(F459,customers!$B$1:$B$1001,customers!$C$1:$C$1001,,0))</f>
        <v>cthowescp@craigslist.org</v>
      </c>
      <c r="H459" s="2" t="str">
        <f>_xlfn.XLOOKUP(C459,customers!$A$1:$A$1001,customers!$G$1:$G$1001,,0)</f>
        <v>United States</v>
      </c>
      <c r="I459" t="str">
        <f>_xlfn.XLOOKUP(D459,products!$A$1:$A$49,products!$B$1:$B$49,,0)</f>
        <v>Lib</v>
      </c>
      <c r="J459" t="str">
        <f>_xlfn.XLOOKUP(D459,products!$A$1:$A$49,products!$C$1:$C$49,,0)</f>
        <v>L</v>
      </c>
      <c r="K459" s="5">
        <f>_xlfn.XLOOKUP(D459,products!$A$1:$A$49,products!$D$1:$D$49,,0)</f>
        <v>0.5</v>
      </c>
      <c r="L459" s="7">
        <f>_xlfn.XLOOKUP(D459,products!$A$1:$A$49,products!$E$1:$E$49,,0)</f>
        <v>9.51</v>
      </c>
      <c r="M459" s="7">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IF(_xlfn.XLOOKUP(F460,customers!$B$1:$B$1001,customers!$C$1:$C$1001,,0)=0,"",_xlfn.XLOOKUP(F460,customers!$B$1:$B$1001,customers!$C$1:$C$1001,,0))</f>
        <v>rwillowaycq@admin.ch</v>
      </c>
      <c r="H460" s="2" t="str">
        <f>_xlfn.XLOOKUP(C460,customers!$A$1:$A$1001,customers!$G$1:$G$1001,,0)</f>
        <v>United States</v>
      </c>
      <c r="I460" t="str">
        <f>_xlfn.XLOOKUP(D460,products!$A$1:$A$49,products!$B$1:$B$49,,0)</f>
        <v>Ara</v>
      </c>
      <c r="J460" t="str">
        <f>_xlfn.XLOOKUP(D460,products!$A$1:$A$49,products!$C$1:$C$49,,0)</f>
        <v>M</v>
      </c>
      <c r="K460" s="5">
        <f>_xlfn.XLOOKUP(D460,products!$A$1:$A$49,products!$D$1:$D$49,,0)</f>
        <v>1</v>
      </c>
      <c r="L460" s="7">
        <f>_xlfn.XLOOKUP(D460,products!$A$1:$A$49,products!$E$1:$E$49,,0)</f>
        <v>11.25</v>
      </c>
      <c r="M460" s="7">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IF(_xlfn.XLOOKUP(F461,customers!$B$1:$B$1001,customers!$C$1:$C$1001,,0)=0,"",_xlfn.XLOOKUP(F461,customers!$B$1:$B$1001,customers!$C$1:$C$1001,,0))</f>
        <v>aelwincr@privacy.gov.au</v>
      </c>
      <c r="H461" s="2" t="str">
        <f>_xlfn.XLOOKUP(C461,customers!$A$1:$A$1001,customers!$G$1:$G$1001,,0)</f>
        <v>United States</v>
      </c>
      <c r="I461" t="str">
        <f>_xlfn.XLOOKUP(D461,products!$A$1:$A$49,products!$B$1:$B$49,,0)</f>
        <v>Lib</v>
      </c>
      <c r="J461" t="str">
        <f>_xlfn.XLOOKUP(D461,products!$A$1:$A$49,products!$C$1:$C$49,,0)</f>
        <v>L</v>
      </c>
      <c r="K461" s="5">
        <f>_xlfn.XLOOKUP(D461,products!$A$1:$A$49,products!$D$1:$D$49,,0)</f>
        <v>0.2</v>
      </c>
      <c r="L461" s="7">
        <f>_xlfn.XLOOKUP(D461,products!$A$1:$A$49,products!$E$1:$E$49,,0)</f>
        <v>4.7549999999999999</v>
      </c>
      <c r="M461" s="7">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IF(_xlfn.XLOOKUP(F462,customers!$B$1:$B$1001,customers!$C$1:$C$1001,,0)=0,"",_xlfn.XLOOKUP(F462,customers!$B$1:$B$1001,customers!$C$1:$C$1001,,0))</f>
        <v>abilbrookcs@booking.com</v>
      </c>
      <c r="H462" s="2" t="str">
        <f>_xlfn.XLOOKUP(C462,customers!$A$1:$A$1001,customers!$G$1:$G$1001,,0)</f>
        <v>Ireland</v>
      </c>
      <c r="I462" t="str">
        <f>_xlfn.XLOOKUP(D462,products!$A$1:$A$49,products!$B$1:$B$49,,0)</f>
        <v>Rob</v>
      </c>
      <c r="J462" t="str">
        <f>_xlfn.XLOOKUP(D462,products!$A$1:$A$49,products!$C$1:$C$49,,0)</f>
        <v>D</v>
      </c>
      <c r="K462" s="5">
        <f>_xlfn.XLOOKUP(D462,products!$A$1:$A$49,products!$D$1:$D$49,,0)</f>
        <v>0.5</v>
      </c>
      <c r="L462" s="7">
        <f>_xlfn.XLOOKUP(D462,products!$A$1:$A$49,products!$E$1:$E$49,,0)</f>
        <v>5.3699999999999992</v>
      </c>
      <c r="M462" s="7">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IF(_xlfn.XLOOKUP(F463,customers!$B$1:$B$1001,customers!$C$1:$C$1001,,0)=0,"",_xlfn.XLOOKUP(F463,customers!$B$1:$B$1001,customers!$C$1:$C$1001,,0))</f>
        <v>rmckallct@sakura.ne.jp</v>
      </c>
      <c r="H463" s="2" t="str">
        <f>_xlfn.XLOOKUP(C463,customers!$A$1:$A$1001,customers!$G$1:$G$1001,,0)</f>
        <v>United Kingdom</v>
      </c>
      <c r="I463" t="str">
        <f>_xlfn.XLOOKUP(D463,products!$A$1:$A$49,products!$B$1:$B$49,,0)</f>
        <v>Rob</v>
      </c>
      <c r="J463" t="str">
        <f>_xlfn.XLOOKUP(D463,products!$A$1:$A$49,products!$C$1:$C$49,,0)</f>
        <v>D</v>
      </c>
      <c r="K463" s="5">
        <f>_xlfn.XLOOKUP(D463,products!$A$1:$A$49,products!$D$1:$D$49,,0)</f>
        <v>0.2</v>
      </c>
      <c r="L463" s="7">
        <f>_xlfn.XLOOKUP(D463,products!$A$1:$A$49,products!$E$1:$E$49,,0)</f>
        <v>2.6849999999999996</v>
      </c>
      <c r="M463" s="7">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IF(_xlfn.XLOOKUP(F464,customers!$B$1:$B$1001,customers!$C$1:$C$1001,,0)=0,"",_xlfn.XLOOKUP(F464,customers!$B$1:$B$1001,customers!$C$1:$C$1001,,0))</f>
        <v>bdailecu@vistaprint.com</v>
      </c>
      <c r="H464" s="2" t="str">
        <f>_xlfn.XLOOKUP(C464,customers!$A$1:$A$1001,customers!$G$1:$G$1001,,0)</f>
        <v>United States</v>
      </c>
      <c r="I464" t="str">
        <f>_xlfn.XLOOKUP(D464,products!$A$1:$A$49,products!$B$1:$B$49,,0)</f>
        <v>Ara</v>
      </c>
      <c r="J464" t="str">
        <f>_xlfn.XLOOKUP(D464,products!$A$1:$A$49,products!$C$1:$C$49,,0)</f>
        <v>D</v>
      </c>
      <c r="K464" s="5">
        <f>_xlfn.XLOOKUP(D464,products!$A$1:$A$49,products!$D$1:$D$49,,0)</f>
        <v>1</v>
      </c>
      <c r="L464" s="7">
        <f>_xlfn.XLOOKUP(D464,products!$A$1:$A$49,products!$E$1:$E$49,,0)</f>
        <v>9.9499999999999993</v>
      </c>
      <c r="M464" s="7">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IF(_xlfn.XLOOKUP(F465,customers!$B$1:$B$1001,customers!$C$1:$C$1001,,0)=0,"",_xlfn.XLOOKUP(F465,customers!$B$1:$B$1001,customers!$C$1:$C$1001,,0))</f>
        <v>atrehernecv@state.tx.us</v>
      </c>
      <c r="H465" s="2" t="str">
        <f>_xlfn.XLOOKUP(C465,customers!$A$1:$A$1001,customers!$G$1:$G$1001,,0)</f>
        <v>Ireland</v>
      </c>
      <c r="I465" t="str">
        <f>_xlfn.XLOOKUP(D465,products!$A$1:$A$49,products!$B$1:$B$49,,0)</f>
        <v>Exc</v>
      </c>
      <c r="J465" t="str">
        <f>_xlfn.XLOOKUP(D465,products!$A$1:$A$49,products!$C$1:$C$49,,0)</f>
        <v>M</v>
      </c>
      <c r="K465" s="5">
        <f>_xlfn.XLOOKUP(D465,products!$A$1:$A$49,products!$D$1:$D$49,,0)</f>
        <v>1</v>
      </c>
      <c r="L465" s="7">
        <f>_xlfn.XLOOKUP(D465,products!$A$1:$A$49,products!$E$1:$E$49,,0)</f>
        <v>13.75</v>
      </c>
      <c r="M465" s="7">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IF(_xlfn.XLOOKUP(F466,customers!$B$1:$B$1001,customers!$C$1:$C$1001,,0)=0,"",_xlfn.XLOOKUP(F466,customers!$B$1:$B$1001,customers!$C$1:$C$1001,,0))</f>
        <v>abrentnallcw@biglobe.ne.jp</v>
      </c>
      <c r="H466" s="2" t="str">
        <f>_xlfn.XLOOKUP(C466,customers!$A$1:$A$1001,customers!$G$1:$G$1001,,0)</f>
        <v>United Kingdom</v>
      </c>
      <c r="I466" t="str">
        <f>_xlfn.XLOOKUP(D466,products!$A$1:$A$49,products!$B$1:$B$49,,0)</f>
        <v>Lib</v>
      </c>
      <c r="J466" t="str">
        <f>_xlfn.XLOOKUP(D466,products!$A$1:$A$49,products!$C$1:$C$49,,0)</f>
        <v>D</v>
      </c>
      <c r="K466" s="5">
        <f>_xlfn.XLOOKUP(D466,products!$A$1:$A$49,products!$D$1:$D$49,,0)</f>
        <v>2.5</v>
      </c>
      <c r="L466" s="7">
        <f>_xlfn.XLOOKUP(D466,products!$A$1:$A$49,products!$E$1:$E$49,,0)</f>
        <v>29.784999999999997</v>
      </c>
      <c r="M466" s="7">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IF(_xlfn.XLOOKUP(F467,customers!$B$1:$B$1001,customers!$C$1:$C$1001,,0)=0,"",_xlfn.XLOOKUP(F467,customers!$B$1:$B$1001,customers!$C$1:$C$1001,,0))</f>
        <v>ddrinkallcx@psu.edu</v>
      </c>
      <c r="H467" s="2" t="str">
        <f>_xlfn.XLOOKUP(C467,customers!$A$1:$A$1001,customers!$G$1:$G$1001,,0)</f>
        <v>United States</v>
      </c>
      <c r="I467" t="str">
        <f>_xlfn.XLOOKUP(D467,products!$A$1:$A$49,products!$B$1:$B$49,,0)</f>
        <v>Rob</v>
      </c>
      <c r="J467" t="str">
        <f>_xlfn.XLOOKUP(D467,products!$A$1:$A$49,products!$C$1:$C$49,,0)</f>
        <v>D</v>
      </c>
      <c r="K467" s="5">
        <f>_xlfn.XLOOKUP(D467,products!$A$1:$A$49,products!$D$1:$D$49,,0)</f>
        <v>2.5</v>
      </c>
      <c r="L467" s="7">
        <f>_xlfn.XLOOKUP(D467,products!$A$1:$A$49,products!$E$1:$E$49,,0)</f>
        <v>20.584999999999997</v>
      </c>
      <c r="M467" s="7">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IF(_xlfn.XLOOKUP(F468,customers!$B$1:$B$1001,customers!$C$1:$C$1001,,0)=0,"",_xlfn.XLOOKUP(F468,customers!$B$1:$B$1001,customers!$C$1:$C$1001,,0))</f>
        <v>dkornelcy@cyberchimps.com</v>
      </c>
      <c r="H468" s="2" t="str">
        <f>_xlfn.XLOOKUP(C468,customers!$A$1:$A$1001,customers!$G$1:$G$1001,,0)</f>
        <v>United States</v>
      </c>
      <c r="I468" t="str">
        <f>_xlfn.XLOOKUP(D468,products!$A$1:$A$49,products!$B$1:$B$49,,0)</f>
        <v>Ara</v>
      </c>
      <c r="J468" t="str">
        <f>_xlfn.XLOOKUP(D468,products!$A$1:$A$49,products!$C$1:$C$49,,0)</f>
        <v>D</v>
      </c>
      <c r="K468" s="5">
        <f>_xlfn.XLOOKUP(D468,products!$A$1:$A$49,products!$D$1:$D$49,,0)</f>
        <v>0.2</v>
      </c>
      <c r="L468" s="7">
        <f>_xlfn.XLOOKUP(D468,products!$A$1:$A$49,products!$E$1:$E$49,,0)</f>
        <v>2.9849999999999999</v>
      </c>
      <c r="M468" s="7">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IF(_xlfn.XLOOKUP(F469,customers!$B$1:$B$1001,customers!$C$1:$C$1001,,0)=0,"",_xlfn.XLOOKUP(F469,customers!$B$1:$B$1001,customers!$C$1:$C$1001,,0))</f>
        <v>rlequeuxcz@newyorker.com</v>
      </c>
      <c r="H469" s="2" t="str">
        <f>_xlfn.XLOOKUP(C469,customers!$A$1:$A$1001,customers!$G$1:$G$1001,,0)</f>
        <v>United States</v>
      </c>
      <c r="I469" t="str">
        <f>_xlfn.XLOOKUP(D469,products!$A$1:$A$49,products!$B$1:$B$49,,0)</f>
        <v>Ara</v>
      </c>
      <c r="J469" t="str">
        <f>_xlfn.XLOOKUP(D469,products!$A$1:$A$49,products!$C$1:$C$49,,0)</f>
        <v>D</v>
      </c>
      <c r="K469" s="5">
        <f>_xlfn.XLOOKUP(D469,products!$A$1:$A$49,products!$D$1:$D$49,,0)</f>
        <v>0.5</v>
      </c>
      <c r="L469" s="7">
        <f>_xlfn.XLOOKUP(D469,products!$A$1:$A$49,products!$E$1:$E$49,,0)</f>
        <v>5.97</v>
      </c>
      <c r="M469" s="7">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IF(_xlfn.XLOOKUP(F470,customers!$B$1:$B$1001,customers!$C$1:$C$1001,,0)=0,"",_xlfn.XLOOKUP(F470,customers!$B$1:$B$1001,customers!$C$1:$C$1001,,0))</f>
        <v>jmccaulld0@parallels.com</v>
      </c>
      <c r="H470" s="2" t="str">
        <f>_xlfn.XLOOKUP(C470,customers!$A$1:$A$1001,customers!$G$1:$G$1001,,0)</f>
        <v>United States</v>
      </c>
      <c r="I470" t="str">
        <f>_xlfn.XLOOKUP(D470,products!$A$1:$A$49,products!$B$1:$B$49,,0)</f>
        <v>Exc</v>
      </c>
      <c r="J470" t="str">
        <f>_xlfn.XLOOKUP(D470,products!$A$1:$A$49,products!$C$1:$C$49,,0)</f>
        <v>M</v>
      </c>
      <c r="K470" s="5">
        <f>_xlfn.XLOOKUP(D470,products!$A$1:$A$49,products!$D$1:$D$49,,0)</f>
        <v>1</v>
      </c>
      <c r="L470" s="7">
        <f>_xlfn.XLOOKUP(D470,products!$A$1:$A$49,products!$E$1:$E$49,,0)</f>
        <v>13.75</v>
      </c>
      <c r="M470" s="7">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IF(_xlfn.XLOOKUP(F471,customers!$B$1:$B$1001,customers!$C$1:$C$1001,,0)=0,"",_xlfn.XLOOKUP(F471,customers!$B$1:$B$1001,customers!$C$1:$C$1001,,0))</f>
        <v>abrashda@plala.or.jp</v>
      </c>
      <c r="H471" s="2" t="str">
        <f>_xlfn.XLOOKUP(C471,customers!$A$1:$A$1001,customers!$G$1:$G$1001,,0)</f>
        <v>United States</v>
      </c>
      <c r="I471" t="str">
        <f>_xlfn.XLOOKUP(D471,products!$A$1:$A$49,products!$B$1:$B$49,,0)</f>
        <v>Exc</v>
      </c>
      <c r="J471" t="str">
        <f>_xlfn.XLOOKUP(D471,products!$A$1:$A$49,products!$C$1:$C$49,,0)</f>
        <v>L</v>
      </c>
      <c r="K471" s="5">
        <f>_xlfn.XLOOKUP(D471,products!$A$1:$A$49,products!$D$1:$D$49,,0)</f>
        <v>0.2</v>
      </c>
      <c r="L471" s="7">
        <f>_xlfn.XLOOKUP(D471,products!$A$1:$A$49,products!$E$1:$E$49,,0)</f>
        <v>4.4550000000000001</v>
      </c>
      <c r="M471" s="7">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IF(_xlfn.XLOOKUP(F472,customers!$B$1:$B$1001,customers!$C$1:$C$1001,,0)=0,"",_xlfn.XLOOKUP(F472,customers!$B$1:$B$1001,customers!$C$1:$C$1001,,0))</f>
        <v>ahutchinsond2@imgur.com</v>
      </c>
      <c r="H472" s="2" t="str">
        <f>_xlfn.XLOOKUP(C472,customers!$A$1:$A$1001,customers!$G$1:$G$1001,,0)</f>
        <v>United States</v>
      </c>
      <c r="I472" t="str">
        <f>_xlfn.XLOOKUP(D472,products!$A$1:$A$49,products!$B$1:$B$49,,0)</f>
        <v>Ara</v>
      </c>
      <c r="J472" t="str">
        <f>_xlfn.XLOOKUP(D472,products!$A$1:$A$49,products!$C$1:$C$49,,0)</f>
        <v>M</v>
      </c>
      <c r="K472" s="5">
        <f>_xlfn.XLOOKUP(D472,products!$A$1:$A$49,products!$D$1:$D$49,,0)</f>
        <v>0.5</v>
      </c>
      <c r="L472" s="7">
        <f>_xlfn.XLOOKUP(D472,products!$A$1:$A$49,products!$E$1:$E$49,,0)</f>
        <v>6.75</v>
      </c>
      <c r="M472" s="7">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IF(_xlfn.XLOOKUP(F473,customers!$B$1:$B$1001,customers!$C$1:$C$1001,,0)=0,"",_xlfn.XLOOKUP(F473,customers!$B$1:$B$1001,customers!$C$1:$C$1001,,0))</f>
        <v/>
      </c>
      <c r="H473" s="2" t="str">
        <f>_xlfn.XLOOKUP(C473,customers!$A$1:$A$1001,customers!$G$1:$G$1001,,0)</f>
        <v>United States</v>
      </c>
      <c r="I473" t="str">
        <f>_xlfn.XLOOKUP(D473,products!$A$1:$A$49,products!$B$1:$B$49,,0)</f>
        <v>Lib</v>
      </c>
      <c r="J473" t="str">
        <f>_xlfn.XLOOKUP(D473,products!$A$1:$A$49,products!$C$1:$C$49,,0)</f>
        <v>M</v>
      </c>
      <c r="K473" s="5">
        <f>_xlfn.XLOOKUP(D473,products!$A$1:$A$49,products!$D$1:$D$49,,0)</f>
        <v>2.5</v>
      </c>
      <c r="L473" s="7">
        <f>_xlfn.XLOOKUP(D473,products!$A$1:$A$49,products!$E$1:$E$49,,0)</f>
        <v>33.464999999999996</v>
      </c>
      <c r="M473" s="7">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IF(_xlfn.XLOOKUP(F474,customers!$B$1:$B$1001,customers!$C$1:$C$1001,,0)=0,"",_xlfn.XLOOKUP(F474,customers!$B$1:$B$1001,customers!$C$1:$C$1001,,0))</f>
        <v>rdriversd4@hexun.com</v>
      </c>
      <c r="H474" s="2" t="str">
        <f>_xlfn.XLOOKUP(C474,customers!$A$1:$A$1001,customers!$G$1:$G$1001,,0)</f>
        <v>United States</v>
      </c>
      <c r="I474" t="str">
        <f>_xlfn.XLOOKUP(D474,products!$A$1:$A$49,products!$B$1:$B$49,,0)</f>
        <v>Ara</v>
      </c>
      <c r="J474" t="str">
        <f>_xlfn.XLOOKUP(D474,products!$A$1:$A$49,products!$C$1:$C$49,,0)</f>
        <v>D</v>
      </c>
      <c r="K474" s="5">
        <f>_xlfn.XLOOKUP(D474,products!$A$1:$A$49,products!$D$1:$D$49,,0)</f>
        <v>0.2</v>
      </c>
      <c r="L474" s="7">
        <f>_xlfn.XLOOKUP(D474,products!$A$1:$A$49,products!$E$1:$E$49,,0)</f>
        <v>2.9849999999999999</v>
      </c>
      <c r="M474" s="7">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IF(_xlfn.XLOOKUP(F475,customers!$B$1:$B$1001,customers!$C$1:$C$1001,,0)=0,"",_xlfn.XLOOKUP(F475,customers!$B$1:$B$1001,customers!$C$1:$C$1001,,0))</f>
        <v>hzeald5@google.de</v>
      </c>
      <c r="H475" s="2" t="str">
        <f>_xlfn.XLOOKUP(C475,customers!$A$1:$A$1001,customers!$G$1:$G$1001,,0)</f>
        <v>United States</v>
      </c>
      <c r="I475" t="str">
        <f>_xlfn.XLOOKUP(D475,products!$A$1:$A$49,products!$B$1:$B$49,,0)</f>
        <v>Ara</v>
      </c>
      <c r="J475" t="str">
        <f>_xlfn.XLOOKUP(D475,products!$A$1:$A$49,products!$C$1:$C$49,,0)</f>
        <v>L</v>
      </c>
      <c r="K475" s="5">
        <f>_xlfn.XLOOKUP(D475,products!$A$1:$A$49,products!$D$1:$D$49,,0)</f>
        <v>1</v>
      </c>
      <c r="L475" s="7">
        <f>_xlfn.XLOOKUP(D475,products!$A$1:$A$49,products!$E$1:$E$49,,0)</f>
        <v>12.95</v>
      </c>
      <c r="M475" s="7">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IF(_xlfn.XLOOKUP(F476,customers!$B$1:$B$1001,customers!$C$1:$C$1001,,0)=0,"",_xlfn.XLOOKUP(F476,customers!$B$1:$B$1001,customers!$C$1:$C$1001,,0))</f>
        <v>gsmallcombed6@ucla.edu</v>
      </c>
      <c r="H476" s="2" t="str">
        <f>_xlfn.XLOOKUP(C476,customers!$A$1:$A$1001,customers!$G$1:$G$1001,,0)</f>
        <v>Ireland</v>
      </c>
      <c r="I476" t="str">
        <f>_xlfn.XLOOKUP(D476,products!$A$1:$A$49,products!$B$1:$B$49,,0)</f>
        <v>Exc</v>
      </c>
      <c r="J476" t="str">
        <f>_xlfn.XLOOKUP(D476,products!$A$1:$A$49,products!$C$1:$C$49,,0)</f>
        <v>M</v>
      </c>
      <c r="K476" s="5">
        <f>_xlfn.XLOOKUP(D476,products!$A$1:$A$49,products!$D$1:$D$49,,0)</f>
        <v>2.5</v>
      </c>
      <c r="L476" s="7">
        <f>_xlfn.XLOOKUP(D476,products!$A$1:$A$49,products!$E$1:$E$49,,0)</f>
        <v>31.624999999999996</v>
      </c>
      <c r="M476" s="7">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IF(_xlfn.XLOOKUP(F477,customers!$B$1:$B$1001,customers!$C$1:$C$1001,,0)=0,"",_xlfn.XLOOKUP(F477,customers!$B$1:$B$1001,customers!$C$1:$C$1001,,0))</f>
        <v>ddibleyd7@feedburner.com</v>
      </c>
      <c r="H477" s="2" t="str">
        <f>_xlfn.XLOOKUP(C477,customers!$A$1:$A$1001,customers!$G$1:$G$1001,,0)</f>
        <v>United States</v>
      </c>
      <c r="I477" t="str">
        <f>_xlfn.XLOOKUP(D477,products!$A$1:$A$49,products!$B$1:$B$49,,0)</f>
        <v>Lib</v>
      </c>
      <c r="J477" t="str">
        <f>_xlfn.XLOOKUP(D477,products!$A$1:$A$49,products!$C$1:$C$49,,0)</f>
        <v>M</v>
      </c>
      <c r="K477" s="5">
        <f>_xlfn.XLOOKUP(D477,products!$A$1:$A$49,products!$D$1:$D$49,,0)</f>
        <v>0.2</v>
      </c>
      <c r="L477" s="7">
        <f>_xlfn.XLOOKUP(D477,products!$A$1:$A$49,products!$E$1:$E$49,,0)</f>
        <v>4.3650000000000002</v>
      </c>
      <c r="M477" s="7">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IF(_xlfn.XLOOKUP(F478,customers!$B$1:$B$1001,customers!$C$1:$C$1001,,0)=0,"",_xlfn.XLOOKUP(F478,customers!$B$1:$B$1001,customers!$C$1:$C$1001,,0))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5">
        <f>_xlfn.XLOOKUP(D478,products!$A$1:$A$49,products!$D$1:$D$49,,0)</f>
        <v>0.2</v>
      </c>
      <c r="L478" s="7">
        <f>_xlfn.XLOOKUP(D478,products!$A$1:$A$49,products!$E$1:$E$49,,0)</f>
        <v>4.4550000000000001</v>
      </c>
      <c r="M478" s="7">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IF(_xlfn.XLOOKUP(F479,customers!$B$1:$B$1001,customers!$C$1:$C$1001,,0)=0,"",_xlfn.XLOOKUP(F479,customers!$B$1:$B$1001,customers!$C$1:$C$1001,,0))</f>
        <v>fflanagand9@woothemes.com</v>
      </c>
      <c r="H479" s="2" t="str">
        <f>_xlfn.XLOOKUP(C479,customers!$A$1:$A$1001,customers!$G$1:$G$1001,,0)</f>
        <v>United States</v>
      </c>
      <c r="I479" t="str">
        <f>_xlfn.XLOOKUP(D479,products!$A$1:$A$49,products!$B$1:$B$49,,0)</f>
        <v>Lib</v>
      </c>
      <c r="J479" t="str">
        <f>_xlfn.XLOOKUP(D479,products!$A$1:$A$49,products!$C$1:$C$49,,0)</f>
        <v>M</v>
      </c>
      <c r="K479" s="5">
        <f>_xlfn.XLOOKUP(D479,products!$A$1:$A$49,products!$D$1:$D$49,,0)</f>
        <v>0.2</v>
      </c>
      <c r="L479" s="7">
        <f>_xlfn.XLOOKUP(D479,products!$A$1:$A$49,products!$E$1:$E$49,,0)</f>
        <v>4.3650000000000002</v>
      </c>
      <c r="M479" s="7">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IF(_xlfn.XLOOKUP(F480,customers!$B$1:$B$1001,customers!$C$1:$C$1001,,0)=0,"",_xlfn.XLOOKUP(F480,customers!$B$1:$B$1001,customers!$C$1:$C$1001,,0))</f>
        <v>abrashda@plala.or.jp</v>
      </c>
      <c r="H480" s="2" t="str">
        <f>_xlfn.XLOOKUP(C480,customers!$A$1:$A$1001,customers!$G$1:$G$1001,,0)</f>
        <v>United States</v>
      </c>
      <c r="I480" t="str">
        <f>_xlfn.XLOOKUP(D480,products!$A$1:$A$49,products!$B$1:$B$49,,0)</f>
        <v>Rob</v>
      </c>
      <c r="J480" t="str">
        <f>_xlfn.XLOOKUP(D480,products!$A$1:$A$49,products!$C$1:$C$49,,0)</f>
        <v>D</v>
      </c>
      <c r="K480" s="5">
        <f>_xlfn.XLOOKUP(D480,products!$A$1:$A$49,products!$D$1:$D$49,,0)</f>
        <v>1</v>
      </c>
      <c r="L480" s="7">
        <f>_xlfn.XLOOKUP(D480,products!$A$1:$A$49,products!$E$1:$E$49,,0)</f>
        <v>8.9499999999999993</v>
      </c>
      <c r="M480" s="7">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IF(_xlfn.XLOOKUP(F481,customers!$B$1:$B$1001,customers!$C$1:$C$1001,,0)=0,"",_xlfn.XLOOKUP(F481,customers!$B$1:$B$1001,customers!$C$1:$C$1001,,0))</f>
        <v>abrashda@plala.or.jp</v>
      </c>
      <c r="H481" s="2" t="str">
        <f>_xlfn.XLOOKUP(C481,customers!$A$1:$A$1001,customers!$G$1:$G$1001,,0)</f>
        <v>United States</v>
      </c>
      <c r="I481" t="str">
        <f>_xlfn.XLOOKUP(D481,products!$A$1:$A$49,products!$B$1:$B$49,,0)</f>
        <v>Exc</v>
      </c>
      <c r="J481" t="str">
        <f>_xlfn.XLOOKUP(D481,products!$A$1:$A$49,products!$C$1:$C$49,,0)</f>
        <v>M</v>
      </c>
      <c r="K481" s="5">
        <f>_xlfn.XLOOKUP(D481,products!$A$1:$A$49,products!$D$1:$D$49,,0)</f>
        <v>2.5</v>
      </c>
      <c r="L481" s="7">
        <f>_xlfn.XLOOKUP(D481,products!$A$1:$A$49,products!$E$1:$E$49,,0)</f>
        <v>31.624999999999996</v>
      </c>
      <c r="M481" s="7">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IF(_xlfn.XLOOKUP(F482,customers!$B$1:$B$1001,customers!$C$1:$C$1001,,0)=0,"",_xlfn.XLOOKUP(F482,customers!$B$1:$B$1001,customers!$C$1:$C$1001,,0))</f>
        <v>abrashda@plala.or.jp</v>
      </c>
      <c r="H482" s="2" t="str">
        <f>_xlfn.XLOOKUP(C482,customers!$A$1:$A$1001,customers!$G$1:$G$1001,,0)</f>
        <v>United States</v>
      </c>
      <c r="I482" t="str">
        <f>_xlfn.XLOOKUP(D482,products!$A$1:$A$49,products!$B$1:$B$49,,0)</f>
        <v>Exc</v>
      </c>
      <c r="J482" t="str">
        <f>_xlfn.XLOOKUP(D482,products!$A$1:$A$49,products!$C$1:$C$49,,0)</f>
        <v>M</v>
      </c>
      <c r="K482" s="5">
        <f>_xlfn.XLOOKUP(D482,products!$A$1:$A$49,products!$D$1:$D$49,,0)</f>
        <v>0.2</v>
      </c>
      <c r="L482" s="7">
        <f>_xlfn.XLOOKUP(D482,products!$A$1:$A$49,products!$E$1:$E$49,,0)</f>
        <v>4.125</v>
      </c>
      <c r="M482" s="7">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IF(_xlfn.XLOOKUP(F483,customers!$B$1:$B$1001,customers!$C$1:$C$1001,,0)=0,"",_xlfn.XLOOKUP(F483,customers!$B$1:$B$1001,customers!$C$1:$C$1001,,0))</f>
        <v>nizhakovdd@aol.com</v>
      </c>
      <c r="H483" s="2" t="str">
        <f>_xlfn.XLOOKUP(C483,customers!$A$1:$A$1001,customers!$G$1:$G$1001,,0)</f>
        <v>United Kingdom</v>
      </c>
      <c r="I483" t="str">
        <f>_xlfn.XLOOKUP(D483,products!$A$1:$A$49,products!$B$1:$B$49,,0)</f>
        <v>Rob</v>
      </c>
      <c r="J483" t="str">
        <f>_xlfn.XLOOKUP(D483,products!$A$1:$A$49,products!$C$1:$C$49,,0)</f>
        <v>L</v>
      </c>
      <c r="K483" s="5">
        <f>_xlfn.XLOOKUP(D483,products!$A$1:$A$49,products!$D$1:$D$49,,0)</f>
        <v>1</v>
      </c>
      <c r="L483" s="7">
        <f>_xlfn.XLOOKUP(D483,products!$A$1:$A$49,products!$E$1:$E$49,,0)</f>
        <v>11.95</v>
      </c>
      <c r="M483" s="7">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IF(_xlfn.XLOOKUP(F484,customers!$B$1:$B$1001,customers!$C$1:$C$1001,,0)=0,"",_xlfn.XLOOKUP(F484,customers!$B$1:$B$1001,customers!$C$1:$C$1001,,0))</f>
        <v>skeetsde@answers.com</v>
      </c>
      <c r="H484" s="2" t="str">
        <f>_xlfn.XLOOKUP(C484,customers!$A$1:$A$1001,customers!$G$1:$G$1001,,0)</f>
        <v>United States</v>
      </c>
      <c r="I484" t="str">
        <f>_xlfn.XLOOKUP(D484,products!$A$1:$A$49,products!$B$1:$B$49,,0)</f>
        <v>Exc</v>
      </c>
      <c r="J484" t="str">
        <f>_xlfn.XLOOKUP(D484,products!$A$1:$A$49,products!$C$1:$C$49,,0)</f>
        <v>D</v>
      </c>
      <c r="K484" s="5">
        <f>_xlfn.XLOOKUP(D484,products!$A$1:$A$49,products!$D$1:$D$49,,0)</f>
        <v>2.5</v>
      </c>
      <c r="L484" s="7">
        <f>_xlfn.XLOOKUP(D484,products!$A$1:$A$49,products!$E$1:$E$49,,0)</f>
        <v>27.945</v>
      </c>
      <c r="M484" s="7">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IF(_xlfn.XLOOKUP(F485,customers!$B$1:$B$1001,customers!$C$1:$C$1001,,0)=0,"",_xlfn.XLOOKUP(F485,customers!$B$1:$B$1001,customers!$C$1:$C$1001,,0))</f>
        <v/>
      </c>
      <c r="H485" s="2" t="str">
        <f>_xlfn.XLOOKUP(C485,customers!$A$1:$A$1001,customers!$G$1:$G$1001,,0)</f>
        <v>United States</v>
      </c>
      <c r="I485" t="str">
        <f>_xlfn.XLOOKUP(D485,products!$A$1:$A$49,products!$B$1:$B$49,,0)</f>
        <v>Lib</v>
      </c>
      <c r="J485" t="str">
        <f>_xlfn.XLOOKUP(D485,products!$A$1:$A$49,products!$C$1:$C$49,,0)</f>
        <v>D</v>
      </c>
      <c r="K485" s="5">
        <f>_xlfn.XLOOKUP(D485,products!$A$1:$A$49,products!$D$1:$D$49,,0)</f>
        <v>2.5</v>
      </c>
      <c r="L485" s="7">
        <f>_xlfn.XLOOKUP(D485,products!$A$1:$A$49,products!$E$1:$E$49,,0)</f>
        <v>29.784999999999997</v>
      </c>
      <c r="M485" s="7">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IF(_xlfn.XLOOKUP(F486,customers!$B$1:$B$1001,customers!$C$1:$C$1001,,0)=0,"",_xlfn.XLOOKUP(F486,customers!$B$1:$B$1001,customers!$C$1:$C$1001,,0))</f>
        <v>kcakedg@huffingtonpost.com</v>
      </c>
      <c r="H486" s="2" t="str">
        <f>_xlfn.XLOOKUP(C486,customers!$A$1:$A$1001,customers!$G$1:$G$1001,,0)</f>
        <v>United States</v>
      </c>
      <c r="I486" t="str">
        <f>_xlfn.XLOOKUP(D486,products!$A$1:$A$49,products!$B$1:$B$49,,0)</f>
        <v>Lib</v>
      </c>
      <c r="J486" t="str">
        <f>_xlfn.XLOOKUP(D486,products!$A$1:$A$49,products!$C$1:$C$49,,0)</f>
        <v>L</v>
      </c>
      <c r="K486" s="5">
        <f>_xlfn.XLOOKUP(D486,products!$A$1:$A$49,products!$D$1:$D$49,,0)</f>
        <v>0.5</v>
      </c>
      <c r="L486" s="7">
        <f>_xlfn.XLOOKUP(D486,products!$A$1:$A$49,products!$E$1:$E$49,,0)</f>
        <v>9.51</v>
      </c>
      <c r="M486" s="7">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IF(_xlfn.XLOOKUP(F487,customers!$B$1:$B$1001,customers!$C$1:$C$1001,,0)=0,"",_xlfn.XLOOKUP(F487,customers!$B$1:$B$1001,customers!$C$1:$C$1001,,0))</f>
        <v>mhanseddh@instagram.com</v>
      </c>
      <c r="H487" s="2" t="str">
        <f>_xlfn.XLOOKUP(C487,customers!$A$1:$A$1001,customers!$G$1:$G$1001,,0)</f>
        <v>Ireland</v>
      </c>
      <c r="I487" t="str">
        <f>_xlfn.XLOOKUP(D487,products!$A$1:$A$49,products!$B$1:$B$49,,0)</f>
        <v>Rob</v>
      </c>
      <c r="J487" t="str">
        <f>_xlfn.XLOOKUP(D487,products!$A$1:$A$49,products!$C$1:$C$49,,0)</f>
        <v>L</v>
      </c>
      <c r="K487" s="5">
        <f>_xlfn.XLOOKUP(D487,products!$A$1:$A$49,products!$D$1:$D$49,,0)</f>
        <v>0.2</v>
      </c>
      <c r="L487" s="7">
        <f>_xlfn.XLOOKUP(D487,products!$A$1:$A$49,products!$E$1:$E$49,,0)</f>
        <v>3.5849999999999995</v>
      </c>
      <c r="M487" s="7">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IF(_xlfn.XLOOKUP(F488,customers!$B$1:$B$1001,customers!$C$1:$C$1001,,0)=0,"",_xlfn.XLOOKUP(F488,customers!$B$1:$B$1001,customers!$C$1:$C$1001,,0))</f>
        <v>fkienleindi@trellian.com</v>
      </c>
      <c r="H488" s="2" t="str">
        <f>_xlfn.XLOOKUP(C488,customers!$A$1:$A$1001,customers!$G$1:$G$1001,,0)</f>
        <v>Ireland</v>
      </c>
      <c r="I488" t="str">
        <f>_xlfn.XLOOKUP(D488,products!$A$1:$A$49,products!$B$1:$B$49,,0)</f>
        <v>Lib</v>
      </c>
      <c r="J488" t="str">
        <f>_xlfn.XLOOKUP(D488,products!$A$1:$A$49,products!$C$1:$C$49,,0)</f>
        <v>M</v>
      </c>
      <c r="K488" s="5">
        <f>_xlfn.XLOOKUP(D488,products!$A$1:$A$49,products!$D$1:$D$49,,0)</f>
        <v>0.5</v>
      </c>
      <c r="L488" s="7">
        <f>_xlfn.XLOOKUP(D488,products!$A$1:$A$49,products!$E$1:$E$49,,0)</f>
        <v>8.73</v>
      </c>
      <c r="M488" s="7">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IF(_xlfn.XLOOKUP(F489,customers!$B$1:$B$1001,customers!$C$1:$C$1001,,0)=0,"",_xlfn.XLOOKUP(F489,customers!$B$1:$B$1001,customers!$C$1:$C$1001,,0))</f>
        <v>kegglestonedj@sphinn.com</v>
      </c>
      <c r="H489" s="2" t="str">
        <f>_xlfn.XLOOKUP(C489,customers!$A$1:$A$1001,customers!$G$1:$G$1001,,0)</f>
        <v>Ireland</v>
      </c>
      <c r="I489" t="str">
        <f>_xlfn.XLOOKUP(D489,products!$A$1:$A$49,products!$B$1:$B$49,,0)</f>
        <v>Exc</v>
      </c>
      <c r="J489" t="str">
        <f>_xlfn.XLOOKUP(D489,products!$A$1:$A$49,products!$C$1:$C$49,,0)</f>
        <v>D</v>
      </c>
      <c r="K489" s="5">
        <f>_xlfn.XLOOKUP(D489,products!$A$1:$A$49,products!$D$1:$D$49,,0)</f>
        <v>1</v>
      </c>
      <c r="L489" s="7">
        <f>_xlfn.XLOOKUP(D489,products!$A$1:$A$49,products!$E$1:$E$49,,0)</f>
        <v>12.15</v>
      </c>
      <c r="M489" s="7">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IF(_xlfn.XLOOKUP(F490,customers!$B$1:$B$1001,customers!$C$1:$C$1001,,0)=0,"",_xlfn.XLOOKUP(F490,customers!$B$1:$B$1001,customers!$C$1:$C$1001,,0))</f>
        <v>bsemkinsdk@unc.edu</v>
      </c>
      <c r="H490" s="2" t="str">
        <f>_xlfn.XLOOKUP(C490,customers!$A$1:$A$1001,customers!$G$1:$G$1001,,0)</f>
        <v>Ireland</v>
      </c>
      <c r="I490" t="str">
        <f>_xlfn.XLOOKUP(D490,products!$A$1:$A$49,products!$B$1:$B$49,,0)</f>
        <v>Rob</v>
      </c>
      <c r="J490" t="str">
        <f>_xlfn.XLOOKUP(D490,products!$A$1:$A$49,products!$C$1:$C$49,,0)</f>
        <v>M</v>
      </c>
      <c r="K490" s="5">
        <f>_xlfn.XLOOKUP(D490,products!$A$1:$A$49,products!$D$1:$D$49,,0)</f>
        <v>0.2</v>
      </c>
      <c r="L490" s="7">
        <f>_xlfn.XLOOKUP(D490,products!$A$1:$A$49,products!$E$1:$E$49,,0)</f>
        <v>2.9849999999999999</v>
      </c>
      <c r="M490" s="7">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IF(_xlfn.XLOOKUP(F491,customers!$B$1:$B$1001,customers!$C$1:$C$1001,,0)=0,"",_xlfn.XLOOKUP(F491,customers!$B$1:$B$1001,customers!$C$1:$C$1001,,0))</f>
        <v>slorenzettidl@is.gd</v>
      </c>
      <c r="H491" s="2" t="str">
        <f>_xlfn.XLOOKUP(C491,customers!$A$1:$A$1001,customers!$G$1:$G$1001,,0)</f>
        <v>United States</v>
      </c>
      <c r="I491" t="str">
        <f>_xlfn.XLOOKUP(D491,products!$A$1:$A$49,products!$B$1:$B$49,,0)</f>
        <v>Lib</v>
      </c>
      <c r="J491" t="str">
        <f>_xlfn.XLOOKUP(D491,products!$A$1:$A$49,products!$C$1:$C$49,,0)</f>
        <v>L</v>
      </c>
      <c r="K491" s="5">
        <f>_xlfn.XLOOKUP(D491,products!$A$1:$A$49,products!$D$1:$D$49,,0)</f>
        <v>1</v>
      </c>
      <c r="L491" s="7">
        <f>_xlfn.XLOOKUP(D491,products!$A$1:$A$49,products!$E$1:$E$49,,0)</f>
        <v>15.85</v>
      </c>
      <c r="M491" s="7">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IF(_xlfn.XLOOKUP(F492,customers!$B$1:$B$1001,customers!$C$1:$C$1001,,0)=0,"",_xlfn.XLOOKUP(F492,customers!$B$1:$B$1001,customers!$C$1:$C$1001,,0))</f>
        <v>bgiannazzidm@apple.com</v>
      </c>
      <c r="H492" s="2" t="str">
        <f>_xlfn.XLOOKUP(C492,customers!$A$1:$A$1001,customers!$G$1:$G$1001,,0)</f>
        <v>United States</v>
      </c>
      <c r="I492" t="str">
        <f>_xlfn.XLOOKUP(D492,products!$A$1:$A$49,products!$B$1:$B$49,,0)</f>
        <v>Lib</v>
      </c>
      <c r="J492" t="str">
        <f>_xlfn.XLOOKUP(D492,products!$A$1:$A$49,products!$C$1:$C$49,,0)</f>
        <v>D</v>
      </c>
      <c r="K492" s="5">
        <f>_xlfn.XLOOKUP(D492,products!$A$1:$A$49,products!$D$1:$D$49,,0)</f>
        <v>0.5</v>
      </c>
      <c r="L492" s="7">
        <f>_xlfn.XLOOKUP(D492,products!$A$1:$A$49,products!$E$1:$E$49,,0)</f>
        <v>7.77</v>
      </c>
      <c r="M492" s="7">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IF(_xlfn.XLOOKUP(F493,customers!$B$1:$B$1001,customers!$C$1:$C$1001,,0)=0,"",_xlfn.XLOOKUP(F493,customers!$B$1:$B$1001,customers!$C$1:$C$1001,,0))</f>
        <v/>
      </c>
      <c r="H493" s="2" t="str">
        <f>_xlfn.XLOOKUP(C493,customers!$A$1:$A$1001,customers!$G$1:$G$1001,,0)</f>
        <v>United States</v>
      </c>
      <c r="I493" t="str">
        <f>_xlfn.XLOOKUP(D493,products!$A$1:$A$49,products!$B$1:$B$49,,0)</f>
        <v>Lib</v>
      </c>
      <c r="J493" t="str">
        <f>_xlfn.XLOOKUP(D493,products!$A$1:$A$49,products!$C$1:$C$49,,0)</f>
        <v>D</v>
      </c>
      <c r="K493" s="5">
        <f>_xlfn.XLOOKUP(D493,products!$A$1:$A$49,products!$D$1:$D$49,,0)</f>
        <v>0.2</v>
      </c>
      <c r="L493" s="7">
        <f>_xlfn.XLOOKUP(D493,products!$A$1:$A$49,products!$E$1:$E$49,,0)</f>
        <v>3.8849999999999998</v>
      </c>
      <c r="M493" s="7">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IF(_xlfn.XLOOKUP(F494,customers!$B$1:$B$1001,customers!$C$1:$C$1001,,0)=0,"",_xlfn.XLOOKUP(F494,customers!$B$1:$B$1001,customers!$C$1:$C$1001,,0))</f>
        <v>ulethbrigdo@hc360.com</v>
      </c>
      <c r="H494" s="2" t="str">
        <f>_xlfn.XLOOKUP(C494,customers!$A$1:$A$1001,customers!$G$1:$G$1001,,0)</f>
        <v>United States</v>
      </c>
      <c r="I494" t="str">
        <f>_xlfn.XLOOKUP(D494,products!$A$1:$A$49,products!$B$1:$B$49,,0)</f>
        <v>Exc</v>
      </c>
      <c r="J494" t="str">
        <f>_xlfn.XLOOKUP(D494,products!$A$1:$A$49,products!$C$1:$C$49,,0)</f>
        <v>M</v>
      </c>
      <c r="K494" s="5">
        <f>_xlfn.XLOOKUP(D494,products!$A$1:$A$49,products!$D$1:$D$49,,0)</f>
        <v>0.2</v>
      </c>
      <c r="L494" s="7">
        <f>_xlfn.XLOOKUP(D494,products!$A$1:$A$49,products!$E$1:$E$49,,0)</f>
        <v>4.125</v>
      </c>
      <c r="M494" s="7">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IF(_xlfn.XLOOKUP(F495,customers!$B$1:$B$1001,customers!$C$1:$C$1001,,0)=0,"",_xlfn.XLOOKUP(F495,customers!$B$1:$B$1001,customers!$C$1:$C$1001,,0))</f>
        <v>sfarnishdp@dmoz.org</v>
      </c>
      <c r="H495" s="2" t="str">
        <f>_xlfn.XLOOKUP(C495,customers!$A$1:$A$1001,customers!$G$1:$G$1001,,0)</f>
        <v>United Kingdom</v>
      </c>
      <c r="I495" t="str">
        <f>_xlfn.XLOOKUP(D495,products!$A$1:$A$49,products!$B$1:$B$49,,0)</f>
        <v>Rob</v>
      </c>
      <c r="J495" t="str">
        <f>_xlfn.XLOOKUP(D495,products!$A$1:$A$49,products!$C$1:$C$49,,0)</f>
        <v>M</v>
      </c>
      <c r="K495" s="5">
        <f>_xlfn.XLOOKUP(D495,products!$A$1:$A$49,products!$D$1:$D$49,,0)</f>
        <v>0.5</v>
      </c>
      <c r="L495" s="7">
        <f>_xlfn.XLOOKUP(D495,products!$A$1:$A$49,products!$E$1:$E$49,,0)</f>
        <v>5.97</v>
      </c>
      <c r="M495" s="7">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IF(_xlfn.XLOOKUP(F496,customers!$B$1:$B$1001,customers!$C$1:$C$1001,,0)=0,"",_xlfn.XLOOKUP(F496,customers!$B$1:$B$1001,customers!$C$1:$C$1001,,0))</f>
        <v>fjecockdq@unicef.org</v>
      </c>
      <c r="H496" s="2" t="str">
        <f>_xlfn.XLOOKUP(C496,customers!$A$1:$A$1001,customers!$G$1:$G$1001,,0)</f>
        <v>United States</v>
      </c>
      <c r="I496" t="str">
        <f>_xlfn.XLOOKUP(D496,products!$A$1:$A$49,products!$B$1:$B$49,,0)</f>
        <v>Lib</v>
      </c>
      <c r="J496" t="str">
        <f>_xlfn.XLOOKUP(D496,products!$A$1:$A$49,products!$C$1:$C$49,,0)</f>
        <v>L</v>
      </c>
      <c r="K496" s="5">
        <f>_xlfn.XLOOKUP(D496,products!$A$1:$A$49,products!$D$1:$D$49,,0)</f>
        <v>1</v>
      </c>
      <c r="L496" s="7">
        <f>_xlfn.XLOOKUP(D496,products!$A$1:$A$49,products!$E$1:$E$49,,0)</f>
        <v>15.85</v>
      </c>
      <c r="M496" s="7">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IF(_xlfn.XLOOKUP(F497,customers!$B$1:$B$1001,customers!$C$1:$C$1001,,0)=0,"",_xlfn.XLOOKUP(F497,customers!$B$1:$B$1001,customers!$C$1:$C$1001,,0))</f>
        <v/>
      </c>
      <c r="H497" s="2" t="str">
        <f>_xlfn.XLOOKUP(C497,customers!$A$1:$A$1001,customers!$G$1:$G$1001,,0)</f>
        <v>United States</v>
      </c>
      <c r="I497" t="str">
        <f>_xlfn.XLOOKUP(D497,products!$A$1:$A$49,products!$B$1:$B$49,,0)</f>
        <v>Lib</v>
      </c>
      <c r="J497" t="str">
        <f>_xlfn.XLOOKUP(D497,products!$A$1:$A$49,products!$C$1:$C$49,,0)</f>
        <v>L</v>
      </c>
      <c r="K497" s="5">
        <f>_xlfn.XLOOKUP(D497,products!$A$1:$A$49,products!$D$1:$D$49,,0)</f>
        <v>1</v>
      </c>
      <c r="L497" s="7">
        <f>_xlfn.XLOOKUP(D497,products!$A$1:$A$49,products!$E$1:$E$49,,0)</f>
        <v>15.85</v>
      </c>
      <c r="M497" s="7">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IF(_xlfn.XLOOKUP(F498,customers!$B$1:$B$1001,customers!$C$1:$C$1001,,0)=0,"",_xlfn.XLOOKUP(F498,customers!$B$1:$B$1001,customers!$C$1:$C$1001,,0))</f>
        <v>hpallisterds@ning.com</v>
      </c>
      <c r="H498" s="2" t="str">
        <f>_xlfn.XLOOKUP(C498,customers!$A$1:$A$1001,customers!$G$1:$G$1001,,0)</f>
        <v>United States</v>
      </c>
      <c r="I498" t="str">
        <f>_xlfn.XLOOKUP(D498,products!$A$1:$A$49,products!$B$1:$B$49,,0)</f>
        <v>Exc</v>
      </c>
      <c r="J498" t="str">
        <f>_xlfn.XLOOKUP(D498,products!$A$1:$A$49,products!$C$1:$C$49,,0)</f>
        <v>D</v>
      </c>
      <c r="K498" s="5">
        <f>_xlfn.XLOOKUP(D498,products!$A$1:$A$49,products!$D$1:$D$49,,0)</f>
        <v>0.2</v>
      </c>
      <c r="L498" s="7">
        <f>_xlfn.XLOOKUP(D498,products!$A$1:$A$49,products!$E$1:$E$49,,0)</f>
        <v>3.645</v>
      </c>
      <c r="M498" s="7">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IF(_xlfn.XLOOKUP(F499,customers!$B$1:$B$1001,customers!$C$1:$C$1001,,0)=0,"",_xlfn.XLOOKUP(F499,customers!$B$1:$B$1001,customers!$C$1:$C$1001,,0))</f>
        <v>cmershdt@drupal.org</v>
      </c>
      <c r="H499" s="2" t="str">
        <f>_xlfn.XLOOKUP(C499,customers!$A$1:$A$1001,customers!$G$1:$G$1001,,0)</f>
        <v>Ireland</v>
      </c>
      <c r="I499" t="str">
        <f>_xlfn.XLOOKUP(D499,products!$A$1:$A$49,products!$B$1:$B$49,,0)</f>
        <v>Ara</v>
      </c>
      <c r="J499" t="str">
        <f>_xlfn.XLOOKUP(D499,products!$A$1:$A$49,products!$C$1:$C$49,,0)</f>
        <v>D</v>
      </c>
      <c r="K499" s="5">
        <f>_xlfn.XLOOKUP(D499,products!$A$1:$A$49,products!$D$1:$D$49,,0)</f>
        <v>1</v>
      </c>
      <c r="L499" s="7">
        <f>_xlfn.XLOOKUP(D499,products!$A$1:$A$49,products!$E$1:$E$49,,0)</f>
        <v>9.9499999999999993</v>
      </c>
      <c r="M499" s="7">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IF(_xlfn.XLOOKUP(F500,customers!$B$1:$B$1001,customers!$C$1:$C$1001,,0)=0,"",_xlfn.XLOOKUP(F500,customers!$B$1:$B$1001,customers!$C$1:$C$1001,,0))</f>
        <v>murione5@alexa.com</v>
      </c>
      <c r="H500" s="2" t="str">
        <f>_xlfn.XLOOKUP(C500,customers!$A$1:$A$1001,customers!$G$1:$G$1001,,0)</f>
        <v>Ireland</v>
      </c>
      <c r="I500" t="str">
        <f>_xlfn.XLOOKUP(D500,products!$A$1:$A$49,products!$B$1:$B$49,,0)</f>
        <v>Rob</v>
      </c>
      <c r="J500" t="str">
        <f>_xlfn.XLOOKUP(D500,products!$A$1:$A$49,products!$C$1:$C$49,,0)</f>
        <v>M</v>
      </c>
      <c r="K500" s="5">
        <f>_xlfn.XLOOKUP(D500,products!$A$1:$A$49,products!$D$1:$D$49,,0)</f>
        <v>1</v>
      </c>
      <c r="L500" s="7">
        <f>_xlfn.XLOOKUP(D500,products!$A$1:$A$49,products!$E$1:$E$49,,0)</f>
        <v>9.9499999999999993</v>
      </c>
      <c r="M500" s="7">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IF(_xlfn.XLOOKUP(F501,customers!$B$1:$B$1001,customers!$C$1:$C$1001,,0)=0,"",_xlfn.XLOOKUP(F501,customers!$B$1:$B$1001,customers!$C$1:$C$1001,,0))</f>
        <v/>
      </c>
      <c r="H501" s="2" t="str">
        <f>_xlfn.XLOOKUP(C501,customers!$A$1:$A$1001,customers!$G$1:$G$1001,,0)</f>
        <v>Ireland</v>
      </c>
      <c r="I501" t="str">
        <f>_xlfn.XLOOKUP(D501,products!$A$1:$A$49,products!$B$1:$B$49,,0)</f>
        <v>Rob</v>
      </c>
      <c r="J501" t="str">
        <f>_xlfn.XLOOKUP(D501,products!$A$1:$A$49,products!$C$1:$C$49,,0)</f>
        <v>D</v>
      </c>
      <c r="K501" s="5">
        <f>_xlfn.XLOOKUP(D501,products!$A$1:$A$49,products!$D$1:$D$49,,0)</f>
        <v>0.2</v>
      </c>
      <c r="L501" s="7">
        <f>_xlfn.XLOOKUP(D501,products!$A$1:$A$49,products!$E$1:$E$49,,0)</f>
        <v>2.6849999999999996</v>
      </c>
      <c r="M501" s="7">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IF(_xlfn.XLOOKUP(F502,customers!$B$1:$B$1001,customers!$C$1:$C$1001,,0)=0,"",_xlfn.XLOOKUP(F502,customers!$B$1:$B$1001,customers!$C$1:$C$1001,,0))</f>
        <v/>
      </c>
      <c r="H502" s="2" t="str">
        <f>_xlfn.XLOOKUP(C502,customers!$A$1:$A$1001,customers!$G$1:$G$1001,,0)</f>
        <v>United States</v>
      </c>
      <c r="I502" t="str">
        <f>_xlfn.XLOOKUP(D502,products!$A$1:$A$49,products!$B$1:$B$49,,0)</f>
        <v>Rob</v>
      </c>
      <c r="J502" t="str">
        <f>_xlfn.XLOOKUP(D502,products!$A$1:$A$49,products!$C$1:$C$49,,0)</f>
        <v>L</v>
      </c>
      <c r="K502" s="5">
        <f>_xlfn.XLOOKUP(D502,products!$A$1:$A$49,products!$D$1:$D$49,,0)</f>
        <v>1</v>
      </c>
      <c r="L502" s="7">
        <f>_xlfn.XLOOKUP(D502,products!$A$1:$A$49,products!$E$1:$E$49,,0)</f>
        <v>11.95</v>
      </c>
      <c r="M502" s="7">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IF(_xlfn.XLOOKUP(F503,customers!$B$1:$B$1001,customers!$C$1:$C$1001,,0)=0,"",_xlfn.XLOOKUP(F503,customers!$B$1:$B$1001,customers!$C$1:$C$1001,,0))</f>
        <v>gduckerdx@patch.com</v>
      </c>
      <c r="H503" s="2" t="str">
        <f>_xlfn.XLOOKUP(C503,customers!$A$1:$A$1001,customers!$G$1:$G$1001,,0)</f>
        <v>United Kingdom</v>
      </c>
      <c r="I503" t="str">
        <f>_xlfn.XLOOKUP(D503,products!$A$1:$A$49,products!$B$1:$B$49,,0)</f>
        <v>Rob</v>
      </c>
      <c r="J503" t="str">
        <f>_xlfn.XLOOKUP(D503,products!$A$1:$A$49,products!$C$1:$C$49,,0)</f>
        <v>M</v>
      </c>
      <c r="K503" s="5">
        <f>_xlfn.XLOOKUP(D503,products!$A$1:$A$49,products!$D$1:$D$49,,0)</f>
        <v>0.2</v>
      </c>
      <c r="L503" s="7">
        <f>_xlfn.XLOOKUP(D503,products!$A$1:$A$49,products!$E$1:$E$49,,0)</f>
        <v>2.9849999999999999</v>
      </c>
      <c r="M503" s="7">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IF(_xlfn.XLOOKUP(F504,customers!$B$1:$B$1001,customers!$C$1:$C$1001,,0)=0,"",_xlfn.XLOOKUP(F504,customers!$B$1:$B$1001,customers!$C$1:$C$1001,,0))</f>
        <v>gduckerdx@patch.com</v>
      </c>
      <c r="H504" s="2" t="str">
        <f>_xlfn.XLOOKUP(C504,customers!$A$1:$A$1001,customers!$G$1:$G$1001,,0)</f>
        <v>United Kingdom</v>
      </c>
      <c r="I504" t="str">
        <f>_xlfn.XLOOKUP(D504,products!$A$1:$A$49,products!$B$1:$B$49,,0)</f>
        <v>Exc</v>
      </c>
      <c r="J504" t="str">
        <f>_xlfn.XLOOKUP(D504,products!$A$1:$A$49,products!$C$1:$C$49,,0)</f>
        <v>M</v>
      </c>
      <c r="K504" s="5">
        <f>_xlfn.XLOOKUP(D504,products!$A$1:$A$49,products!$D$1:$D$49,,0)</f>
        <v>0.2</v>
      </c>
      <c r="L504" s="7">
        <f>_xlfn.XLOOKUP(D504,products!$A$1:$A$49,products!$E$1:$E$49,,0)</f>
        <v>4.125</v>
      </c>
      <c r="M504" s="7">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IF(_xlfn.XLOOKUP(F505,customers!$B$1:$B$1001,customers!$C$1:$C$1001,,0)=0,"",_xlfn.XLOOKUP(F505,customers!$B$1:$B$1001,customers!$C$1:$C$1001,,0))</f>
        <v>gduckerdx@patch.com</v>
      </c>
      <c r="H505" s="2" t="str">
        <f>_xlfn.XLOOKUP(C505,customers!$A$1:$A$1001,customers!$G$1:$G$1001,,0)</f>
        <v>United Kingdom</v>
      </c>
      <c r="I505" t="str">
        <f>_xlfn.XLOOKUP(D505,products!$A$1:$A$49,products!$B$1:$B$49,,0)</f>
        <v>Lib</v>
      </c>
      <c r="J505" t="str">
        <f>_xlfn.XLOOKUP(D505,products!$A$1:$A$49,products!$C$1:$C$49,,0)</f>
        <v>D</v>
      </c>
      <c r="K505" s="5">
        <f>_xlfn.XLOOKUP(D505,products!$A$1:$A$49,products!$D$1:$D$49,,0)</f>
        <v>1</v>
      </c>
      <c r="L505" s="7">
        <f>_xlfn.XLOOKUP(D505,products!$A$1:$A$49,products!$E$1:$E$49,,0)</f>
        <v>12.95</v>
      </c>
      <c r="M505" s="7">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IF(_xlfn.XLOOKUP(F506,customers!$B$1:$B$1001,customers!$C$1:$C$1001,,0)=0,"",_xlfn.XLOOKUP(F506,customers!$B$1:$B$1001,customers!$C$1:$C$1001,,0))</f>
        <v>gduckerdx@patch.com</v>
      </c>
      <c r="H506" s="2" t="str">
        <f>_xlfn.XLOOKUP(C506,customers!$A$1:$A$1001,customers!$G$1:$G$1001,,0)</f>
        <v>United Kingdom</v>
      </c>
      <c r="I506" t="str">
        <f>_xlfn.XLOOKUP(D506,products!$A$1:$A$49,products!$B$1:$B$49,,0)</f>
        <v>Lib</v>
      </c>
      <c r="J506" t="str">
        <f>_xlfn.XLOOKUP(D506,products!$A$1:$A$49,products!$C$1:$C$49,,0)</f>
        <v>L</v>
      </c>
      <c r="K506" s="5">
        <f>_xlfn.XLOOKUP(D506,products!$A$1:$A$49,products!$D$1:$D$49,,0)</f>
        <v>0.2</v>
      </c>
      <c r="L506" s="7">
        <f>_xlfn.XLOOKUP(D506,products!$A$1:$A$49,products!$E$1:$E$49,,0)</f>
        <v>4.7549999999999999</v>
      </c>
      <c r="M506" s="7">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IF(_xlfn.XLOOKUP(F507,customers!$B$1:$B$1001,customers!$C$1:$C$1001,,0)=0,"",_xlfn.XLOOKUP(F507,customers!$B$1:$B$1001,customers!$C$1:$C$1001,,0))</f>
        <v>wstearleye1@census.gov</v>
      </c>
      <c r="H507" s="2" t="str">
        <f>_xlfn.XLOOKUP(C507,customers!$A$1:$A$1001,customers!$G$1:$G$1001,,0)</f>
        <v>United States</v>
      </c>
      <c r="I507" t="str">
        <f>_xlfn.XLOOKUP(D507,products!$A$1:$A$49,products!$B$1:$B$49,,0)</f>
        <v>Lib</v>
      </c>
      <c r="J507" t="str">
        <f>_xlfn.XLOOKUP(D507,products!$A$1:$A$49,products!$C$1:$C$49,,0)</f>
        <v>M</v>
      </c>
      <c r="K507" s="5">
        <f>_xlfn.XLOOKUP(D507,products!$A$1:$A$49,products!$D$1:$D$49,,0)</f>
        <v>0.2</v>
      </c>
      <c r="L507" s="7">
        <f>_xlfn.XLOOKUP(D507,products!$A$1:$A$49,products!$E$1:$E$49,,0)</f>
        <v>4.3650000000000002</v>
      </c>
      <c r="M507" s="7">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IF(_xlfn.XLOOKUP(F508,customers!$B$1:$B$1001,customers!$C$1:$C$1001,,0)=0,"",_xlfn.XLOOKUP(F508,customers!$B$1:$B$1001,customers!$C$1:$C$1001,,0))</f>
        <v>dwincere2@marriott.com</v>
      </c>
      <c r="H508" s="2" t="str">
        <f>_xlfn.XLOOKUP(C508,customers!$A$1:$A$1001,customers!$G$1:$G$1001,,0)</f>
        <v>United States</v>
      </c>
      <c r="I508" t="str">
        <f>_xlfn.XLOOKUP(D508,products!$A$1:$A$49,products!$B$1:$B$49,,0)</f>
        <v>Ara</v>
      </c>
      <c r="J508" t="str">
        <f>_xlfn.XLOOKUP(D508,products!$A$1:$A$49,products!$C$1:$C$49,,0)</f>
        <v>L</v>
      </c>
      <c r="K508" s="5">
        <f>_xlfn.XLOOKUP(D508,products!$A$1:$A$49,products!$D$1:$D$49,,0)</f>
        <v>1</v>
      </c>
      <c r="L508" s="7">
        <f>_xlfn.XLOOKUP(D508,products!$A$1:$A$49,products!$E$1:$E$49,,0)</f>
        <v>12.95</v>
      </c>
      <c r="M508" s="7">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IF(_xlfn.XLOOKUP(F509,customers!$B$1:$B$1001,customers!$C$1:$C$1001,,0)=0,"",_xlfn.XLOOKUP(F509,customers!$B$1:$B$1001,customers!$C$1:$C$1001,,0))</f>
        <v>plyfielde3@baidu.com</v>
      </c>
      <c r="H509" s="2" t="str">
        <f>_xlfn.XLOOKUP(C509,customers!$A$1:$A$1001,customers!$G$1:$G$1001,,0)</f>
        <v>United States</v>
      </c>
      <c r="I509" t="str">
        <f>_xlfn.XLOOKUP(D509,products!$A$1:$A$49,products!$B$1:$B$49,,0)</f>
        <v>Ara</v>
      </c>
      <c r="J509" t="str">
        <f>_xlfn.XLOOKUP(D509,products!$A$1:$A$49,products!$C$1:$C$49,,0)</f>
        <v>L</v>
      </c>
      <c r="K509" s="5">
        <f>_xlfn.XLOOKUP(D509,products!$A$1:$A$49,products!$D$1:$D$49,,0)</f>
        <v>2.5</v>
      </c>
      <c r="L509" s="7">
        <f>_xlfn.XLOOKUP(D509,products!$A$1:$A$49,products!$E$1:$E$49,,0)</f>
        <v>29.784999999999997</v>
      </c>
      <c r="M509" s="7">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IF(_xlfn.XLOOKUP(F510,customers!$B$1:$B$1001,customers!$C$1:$C$1001,,0)=0,"",_xlfn.XLOOKUP(F510,customers!$B$1:$B$1001,customers!$C$1:$C$1001,,0))</f>
        <v>hperrise4@studiopress.com</v>
      </c>
      <c r="H510" s="2" t="str">
        <f>_xlfn.XLOOKUP(C510,customers!$A$1:$A$1001,customers!$G$1:$G$1001,,0)</f>
        <v>Ireland</v>
      </c>
      <c r="I510" t="str">
        <f>_xlfn.XLOOKUP(D510,products!$A$1:$A$49,products!$B$1:$B$49,,0)</f>
        <v>Lib</v>
      </c>
      <c r="J510" t="str">
        <f>_xlfn.XLOOKUP(D510,products!$A$1:$A$49,products!$C$1:$C$49,,0)</f>
        <v>D</v>
      </c>
      <c r="K510" s="5">
        <f>_xlfn.XLOOKUP(D510,products!$A$1:$A$49,products!$D$1:$D$49,,0)</f>
        <v>0.5</v>
      </c>
      <c r="L510" s="7">
        <f>_xlfn.XLOOKUP(D510,products!$A$1:$A$49,products!$E$1:$E$49,,0)</f>
        <v>7.77</v>
      </c>
      <c r="M510" s="7">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IF(_xlfn.XLOOKUP(F511,customers!$B$1:$B$1001,customers!$C$1:$C$1001,,0)=0,"",_xlfn.XLOOKUP(F511,customers!$B$1:$B$1001,customers!$C$1:$C$1001,,0))</f>
        <v>murione5@alexa.com</v>
      </c>
      <c r="H511" s="2" t="str">
        <f>_xlfn.XLOOKUP(C511,customers!$A$1:$A$1001,customers!$G$1:$G$1001,,0)</f>
        <v>Ireland</v>
      </c>
      <c r="I511" t="str">
        <f>_xlfn.XLOOKUP(D511,products!$A$1:$A$49,products!$B$1:$B$49,,0)</f>
        <v>Ara</v>
      </c>
      <c r="J511" t="str">
        <f>_xlfn.XLOOKUP(D511,products!$A$1:$A$49,products!$C$1:$C$49,,0)</f>
        <v>D</v>
      </c>
      <c r="K511" s="5">
        <f>_xlfn.XLOOKUP(D511,products!$A$1:$A$49,products!$D$1:$D$49,,0)</f>
        <v>1</v>
      </c>
      <c r="L511" s="7">
        <f>_xlfn.XLOOKUP(D511,products!$A$1:$A$49,products!$E$1:$E$49,,0)</f>
        <v>9.9499999999999993</v>
      </c>
      <c r="M511" s="7">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IF(_xlfn.XLOOKUP(F512,customers!$B$1:$B$1001,customers!$C$1:$C$1001,,0)=0,"",_xlfn.XLOOKUP(F512,customers!$B$1:$B$1001,customers!$C$1:$C$1001,,0))</f>
        <v>ckide6@narod.ru</v>
      </c>
      <c r="H512" s="2" t="str">
        <f>_xlfn.XLOOKUP(C512,customers!$A$1:$A$1001,customers!$G$1:$G$1001,,0)</f>
        <v>Ireland</v>
      </c>
      <c r="I512" t="str">
        <f>_xlfn.XLOOKUP(D512,products!$A$1:$A$49,products!$B$1:$B$49,,0)</f>
        <v>Rob</v>
      </c>
      <c r="J512" t="str">
        <f>_xlfn.XLOOKUP(D512,products!$A$1:$A$49,products!$C$1:$C$49,,0)</f>
        <v>L</v>
      </c>
      <c r="K512" s="5">
        <f>_xlfn.XLOOKUP(D512,products!$A$1:$A$49,products!$D$1:$D$49,,0)</f>
        <v>0.2</v>
      </c>
      <c r="L512" s="7">
        <f>_xlfn.XLOOKUP(D512,products!$A$1:$A$49,products!$E$1:$E$49,,0)</f>
        <v>3.5849999999999995</v>
      </c>
      <c r="M512" s="7">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IF(_xlfn.XLOOKUP(F513,customers!$B$1:$B$1001,customers!$C$1:$C$1001,,0)=0,"",_xlfn.XLOOKUP(F513,customers!$B$1:$B$1001,customers!$C$1:$C$1001,,0))</f>
        <v>cbeinee7@xinhuanet.com</v>
      </c>
      <c r="H513" s="2" t="str">
        <f>_xlfn.XLOOKUP(C513,customers!$A$1:$A$1001,customers!$G$1:$G$1001,,0)</f>
        <v>United States</v>
      </c>
      <c r="I513" t="str">
        <f>_xlfn.XLOOKUP(D513,products!$A$1:$A$49,products!$B$1:$B$49,,0)</f>
        <v>Ara</v>
      </c>
      <c r="J513" t="str">
        <f>_xlfn.XLOOKUP(D513,products!$A$1:$A$49,products!$C$1:$C$49,,0)</f>
        <v>M</v>
      </c>
      <c r="K513" s="5">
        <f>_xlfn.XLOOKUP(D513,products!$A$1:$A$49,products!$D$1:$D$49,,0)</f>
        <v>0.2</v>
      </c>
      <c r="L513" s="7">
        <f>_xlfn.XLOOKUP(D513,products!$A$1:$A$49,products!$E$1:$E$49,,0)</f>
        <v>3.375</v>
      </c>
      <c r="M513" s="7">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IF(_xlfn.XLOOKUP(F514,customers!$B$1:$B$1001,customers!$C$1:$C$1001,,0)=0,"",_xlfn.XLOOKUP(F514,customers!$B$1:$B$1001,customers!$C$1:$C$1001,,0))</f>
        <v>cbakeupe8@globo.com</v>
      </c>
      <c r="H514" s="2" t="str">
        <f>_xlfn.XLOOKUP(C514,customers!$A$1:$A$1001,customers!$G$1:$G$1001,,0)</f>
        <v>United States</v>
      </c>
      <c r="I514" t="str">
        <f>_xlfn.XLOOKUP(D514,products!$A$1:$A$49,products!$B$1:$B$49,,0)</f>
        <v>Lib</v>
      </c>
      <c r="J514" t="str">
        <f>_xlfn.XLOOKUP(D514,products!$A$1:$A$49,products!$C$1:$C$49,,0)</f>
        <v>L</v>
      </c>
      <c r="K514" s="5">
        <f>_xlfn.XLOOKUP(D514,products!$A$1:$A$49,products!$D$1:$D$49,,0)</f>
        <v>1</v>
      </c>
      <c r="L514" s="7">
        <f>_xlfn.XLOOKUP(D514,products!$A$1:$A$49,products!$E$1:$E$49,,0)</f>
        <v>15.85</v>
      </c>
      <c r="M514" s="7">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IF(_xlfn.XLOOKUP(F515,customers!$B$1:$B$1001,customers!$C$1:$C$1001,,0)=0,"",_xlfn.XLOOKUP(F515,customers!$B$1:$B$1001,customers!$C$1:$C$1001,,0))</f>
        <v>nhelkine9@example.com</v>
      </c>
      <c r="H515" s="2" t="str">
        <f>_xlfn.XLOOKUP(C515,customers!$A$1:$A$1001,customers!$G$1:$G$1001,,0)</f>
        <v>United States</v>
      </c>
      <c r="I515" t="str">
        <f>_xlfn.XLOOKUP(D515,products!$A$1:$A$49,products!$B$1:$B$49,,0)</f>
        <v>Lib</v>
      </c>
      <c r="J515" t="str">
        <f>_xlfn.XLOOKUP(D515,products!$A$1:$A$49,products!$C$1:$C$49,,0)</f>
        <v>L</v>
      </c>
      <c r="K515" s="5">
        <f>_xlfn.XLOOKUP(D515,products!$A$1:$A$49,products!$D$1:$D$49,,0)</f>
        <v>1</v>
      </c>
      <c r="L515" s="7">
        <f>_xlfn.XLOOKUP(D515,products!$A$1:$A$49,products!$E$1:$E$49,,0)</f>
        <v>15.85</v>
      </c>
      <c r="M515" s="7">
        <f t="shared" ref="M515:M578" si="24">(L515*E515)</f>
        <v>79.25</v>
      </c>
      <c r="N515" t="str">
        <f t="shared" ref="N515:N578" si="25">IF(I515="Rob","Robusta", 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IF(_xlfn.XLOOKUP(F516,customers!$B$1:$B$1001,customers!$C$1:$C$1001,,0)=0,"",_xlfn.XLOOKUP(F516,customers!$B$1:$B$1001,customers!$C$1:$C$1001,,0))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5">
        <f>_xlfn.XLOOKUP(D516,products!$A$1:$A$49,products!$D$1:$D$49,,0)</f>
        <v>0.2</v>
      </c>
      <c r="L516" s="7">
        <f>_xlfn.XLOOKUP(D516,products!$A$1:$A$49,products!$E$1:$E$49,,0)</f>
        <v>4.3650000000000002</v>
      </c>
      <c r="M516" s="7">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IF(_xlfn.XLOOKUP(F517,customers!$B$1:$B$1001,customers!$C$1:$C$1001,,0)=0,"",_xlfn.XLOOKUP(F517,customers!$B$1:$B$1001,customers!$C$1:$C$1001,,0))</f>
        <v>ttilzeyeb@hostgator.com</v>
      </c>
      <c r="H517" s="2" t="str">
        <f>_xlfn.XLOOKUP(C517,customers!$A$1:$A$1001,customers!$G$1:$G$1001,,0)</f>
        <v>United States</v>
      </c>
      <c r="I517" t="str">
        <f>_xlfn.XLOOKUP(D517,products!$A$1:$A$49,products!$B$1:$B$49,,0)</f>
        <v>Rob</v>
      </c>
      <c r="J517" t="str">
        <f>_xlfn.XLOOKUP(D517,products!$A$1:$A$49,products!$C$1:$C$49,,0)</f>
        <v>L</v>
      </c>
      <c r="K517" s="5">
        <f>_xlfn.XLOOKUP(D517,products!$A$1:$A$49,products!$D$1:$D$49,,0)</f>
        <v>0.5</v>
      </c>
      <c r="L517" s="7">
        <f>_xlfn.XLOOKUP(D517,products!$A$1:$A$49,products!$E$1:$E$49,,0)</f>
        <v>7.169999999999999</v>
      </c>
      <c r="M517" s="7">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IF(_xlfn.XLOOKUP(F518,customers!$B$1:$B$1001,customers!$C$1:$C$1001,,0)=0,"",_xlfn.XLOOKUP(F518,customers!$B$1:$B$1001,customers!$C$1:$C$1001,,0))</f>
        <v/>
      </c>
      <c r="H518" s="2" t="str">
        <f>_xlfn.XLOOKUP(C518,customers!$A$1:$A$1001,customers!$G$1:$G$1001,,0)</f>
        <v>United States</v>
      </c>
      <c r="I518" t="str">
        <f>_xlfn.XLOOKUP(D518,products!$A$1:$A$49,products!$B$1:$B$49,,0)</f>
        <v>Rob</v>
      </c>
      <c r="J518" t="str">
        <f>_xlfn.XLOOKUP(D518,products!$A$1:$A$49,products!$C$1:$C$49,,0)</f>
        <v>D</v>
      </c>
      <c r="K518" s="5">
        <f>_xlfn.XLOOKUP(D518,products!$A$1:$A$49,products!$D$1:$D$49,,0)</f>
        <v>2.5</v>
      </c>
      <c r="L518" s="7">
        <f>_xlfn.XLOOKUP(D518,products!$A$1:$A$49,products!$E$1:$E$49,,0)</f>
        <v>20.584999999999997</v>
      </c>
      <c r="M518" s="7">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IF(_xlfn.XLOOKUP(F519,customers!$B$1:$B$1001,customers!$C$1:$C$1001,,0)=0,"",_xlfn.XLOOKUP(F519,customers!$B$1:$B$1001,customers!$C$1:$C$1001,,0))</f>
        <v/>
      </c>
      <c r="H519" s="2" t="str">
        <f>_xlfn.XLOOKUP(C519,customers!$A$1:$A$1001,customers!$G$1:$G$1001,,0)</f>
        <v>United States</v>
      </c>
      <c r="I519" t="str">
        <f>_xlfn.XLOOKUP(D519,products!$A$1:$A$49,products!$B$1:$B$49,,0)</f>
        <v>Lib</v>
      </c>
      <c r="J519" t="str">
        <f>_xlfn.XLOOKUP(D519,products!$A$1:$A$49,products!$C$1:$C$49,,0)</f>
        <v>D</v>
      </c>
      <c r="K519" s="5">
        <f>_xlfn.XLOOKUP(D519,products!$A$1:$A$49,products!$D$1:$D$49,,0)</f>
        <v>0.2</v>
      </c>
      <c r="L519" s="7">
        <f>_xlfn.XLOOKUP(D519,products!$A$1:$A$49,products!$E$1:$E$49,,0)</f>
        <v>3.8849999999999998</v>
      </c>
      <c r="M519" s="7">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IF(_xlfn.XLOOKUP(F520,customers!$B$1:$B$1001,customers!$C$1:$C$1001,,0)=0,"",_xlfn.XLOOKUP(F520,customers!$B$1:$B$1001,customers!$C$1:$C$1001,,0))</f>
        <v>kimortsee@alexa.com</v>
      </c>
      <c r="H520" s="2" t="str">
        <f>_xlfn.XLOOKUP(C520,customers!$A$1:$A$1001,customers!$G$1:$G$1001,,0)</f>
        <v>United States</v>
      </c>
      <c r="I520" t="str">
        <f>_xlfn.XLOOKUP(D520,products!$A$1:$A$49,products!$B$1:$B$49,,0)</f>
        <v>Exc</v>
      </c>
      <c r="J520" t="str">
        <f>_xlfn.XLOOKUP(D520,products!$A$1:$A$49,products!$C$1:$C$49,,0)</f>
        <v>D</v>
      </c>
      <c r="K520" s="5">
        <f>_xlfn.XLOOKUP(D520,products!$A$1:$A$49,products!$D$1:$D$49,,0)</f>
        <v>2.5</v>
      </c>
      <c r="L520" s="7">
        <f>_xlfn.XLOOKUP(D520,products!$A$1:$A$49,products!$E$1:$E$49,,0)</f>
        <v>27.945</v>
      </c>
      <c r="M520" s="7">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IF(_xlfn.XLOOKUP(F521,customers!$B$1:$B$1001,customers!$C$1:$C$1001,,0)=0,"",_xlfn.XLOOKUP(F521,customers!$B$1:$B$1001,customers!$C$1:$C$1001,,0))</f>
        <v>murione5@alexa.com</v>
      </c>
      <c r="H521" s="2" t="str">
        <f>_xlfn.XLOOKUP(C521,customers!$A$1:$A$1001,customers!$G$1:$G$1001,,0)</f>
        <v>Ireland</v>
      </c>
      <c r="I521" t="str">
        <f>_xlfn.XLOOKUP(D521,products!$A$1:$A$49,products!$B$1:$B$49,,0)</f>
        <v>Ara</v>
      </c>
      <c r="J521" t="str">
        <f>_xlfn.XLOOKUP(D521,products!$A$1:$A$49,products!$C$1:$C$49,,0)</f>
        <v>D</v>
      </c>
      <c r="K521" s="5">
        <f>_xlfn.XLOOKUP(D521,products!$A$1:$A$49,products!$D$1:$D$49,,0)</f>
        <v>0.5</v>
      </c>
      <c r="L521" s="7">
        <f>_xlfn.XLOOKUP(D521,products!$A$1:$A$49,products!$E$1:$E$49,,0)</f>
        <v>5.97</v>
      </c>
      <c r="M521" s="7">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IF(_xlfn.XLOOKUP(F522,customers!$B$1:$B$1001,customers!$C$1:$C$1001,,0)=0,"",_xlfn.XLOOKUP(F522,customers!$B$1:$B$1001,customers!$C$1:$C$1001,,0))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5">
        <f>_xlfn.XLOOKUP(D522,products!$A$1:$A$49,products!$D$1:$D$49,,0)</f>
        <v>0.2</v>
      </c>
      <c r="L522" s="7">
        <f>_xlfn.XLOOKUP(D522,products!$A$1:$A$49,products!$E$1:$E$49,,0)</f>
        <v>3.8849999999999998</v>
      </c>
      <c r="M522" s="7">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IF(_xlfn.XLOOKUP(F523,customers!$B$1:$B$1001,customers!$C$1:$C$1001,,0)=0,"",_xlfn.XLOOKUP(F523,customers!$B$1:$B$1001,customers!$C$1:$C$1001,,0))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5">
        <f>_xlfn.XLOOKUP(D523,products!$A$1:$A$49,products!$D$1:$D$49,,0)</f>
        <v>1</v>
      </c>
      <c r="L523" s="7">
        <f>_xlfn.XLOOKUP(D523,products!$A$1:$A$49,products!$E$1:$E$49,,0)</f>
        <v>9.9499999999999993</v>
      </c>
      <c r="M523" s="7">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IF(_xlfn.XLOOKUP(F524,customers!$B$1:$B$1001,customers!$C$1:$C$1001,,0)=0,"",_xlfn.XLOOKUP(F524,customers!$B$1:$B$1001,customers!$C$1:$C$1001,,0))</f>
        <v>vupstoneei@google.pl</v>
      </c>
      <c r="H524" s="2" t="str">
        <f>_xlfn.XLOOKUP(C524,customers!$A$1:$A$1001,customers!$G$1:$G$1001,,0)</f>
        <v>United States</v>
      </c>
      <c r="I524" t="str">
        <f>_xlfn.XLOOKUP(D524,products!$A$1:$A$49,products!$B$1:$B$49,,0)</f>
        <v>Rob</v>
      </c>
      <c r="J524" t="str">
        <f>_xlfn.XLOOKUP(D524,products!$A$1:$A$49,products!$C$1:$C$49,,0)</f>
        <v>M</v>
      </c>
      <c r="K524" s="5">
        <f>_xlfn.XLOOKUP(D524,products!$A$1:$A$49,products!$D$1:$D$49,,0)</f>
        <v>0.5</v>
      </c>
      <c r="L524" s="7">
        <f>_xlfn.XLOOKUP(D524,products!$A$1:$A$49,products!$E$1:$E$49,,0)</f>
        <v>5.97</v>
      </c>
      <c r="M524" s="7">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IF(_xlfn.XLOOKUP(F525,customers!$B$1:$B$1001,customers!$C$1:$C$1001,,0)=0,"",_xlfn.XLOOKUP(F525,customers!$B$1:$B$1001,customers!$C$1:$C$1001,,0))</f>
        <v>bbeelbyej@rediff.com</v>
      </c>
      <c r="H525" s="2" t="str">
        <f>_xlfn.XLOOKUP(C525,customers!$A$1:$A$1001,customers!$G$1:$G$1001,,0)</f>
        <v>Ireland</v>
      </c>
      <c r="I525" t="str">
        <f>_xlfn.XLOOKUP(D525,products!$A$1:$A$49,products!$B$1:$B$49,,0)</f>
        <v>Lib</v>
      </c>
      <c r="J525" t="str">
        <f>_xlfn.XLOOKUP(D525,products!$A$1:$A$49,products!$C$1:$C$49,,0)</f>
        <v>D</v>
      </c>
      <c r="K525" s="5">
        <f>_xlfn.XLOOKUP(D525,products!$A$1:$A$49,products!$D$1:$D$49,,0)</f>
        <v>2.5</v>
      </c>
      <c r="L525" s="7">
        <f>_xlfn.XLOOKUP(D525,products!$A$1:$A$49,products!$E$1:$E$49,,0)</f>
        <v>29.784999999999997</v>
      </c>
      <c r="M525" s="7">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IF(_xlfn.XLOOKUP(F526,customers!$B$1:$B$1001,customers!$C$1:$C$1001,,0)=0,"",_xlfn.XLOOKUP(F526,customers!$B$1:$B$1001,customers!$C$1:$C$1001,,0))</f>
        <v/>
      </c>
      <c r="H526" s="2" t="str">
        <f>_xlfn.XLOOKUP(C526,customers!$A$1:$A$1001,customers!$G$1:$G$1001,,0)</f>
        <v>United States</v>
      </c>
      <c r="I526" t="str">
        <f>_xlfn.XLOOKUP(D526,products!$A$1:$A$49,products!$B$1:$B$49,,0)</f>
        <v>Lib</v>
      </c>
      <c r="J526" t="str">
        <f>_xlfn.XLOOKUP(D526,products!$A$1:$A$49,products!$C$1:$C$49,,0)</f>
        <v>L</v>
      </c>
      <c r="K526" s="5">
        <f>_xlfn.XLOOKUP(D526,products!$A$1:$A$49,products!$D$1:$D$49,,0)</f>
        <v>2.5</v>
      </c>
      <c r="L526" s="7">
        <f>_xlfn.XLOOKUP(D526,products!$A$1:$A$49,products!$E$1:$E$49,,0)</f>
        <v>36.454999999999998</v>
      </c>
      <c r="M526" s="7">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IF(_xlfn.XLOOKUP(F527,customers!$B$1:$B$1001,customers!$C$1:$C$1001,,0)=0,"",_xlfn.XLOOKUP(F527,customers!$B$1:$B$1001,customers!$C$1:$C$1001,,0))</f>
        <v/>
      </c>
      <c r="H527" s="2" t="str">
        <f>_xlfn.XLOOKUP(C527,customers!$A$1:$A$1001,customers!$G$1:$G$1001,,0)</f>
        <v>United States</v>
      </c>
      <c r="I527" t="str">
        <f>_xlfn.XLOOKUP(D527,products!$A$1:$A$49,products!$B$1:$B$49,,0)</f>
        <v>Rob</v>
      </c>
      <c r="J527" t="str">
        <f>_xlfn.XLOOKUP(D527,products!$A$1:$A$49,products!$C$1:$C$49,,0)</f>
        <v>D</v>
      </c>
      <c r="K527" s="5">
        <f>_xlfn.XLOOKUP(D527,products!$A$1:$A$49,products!$D$1:$D$49,,0)</f>
        <v>0.2</v>
      </c>
      <c r="L527" s="7">
        <f>_xlfn.XLOOKUP(D527,products!$A$1:$A$49,products!$E$1:$E$49,,0)</f>
        <v>2.6849999999999996</v>
      </c>
      <c r="M527" s="7">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IF(_xlfn.XLOOKUP(F528,customers!$B$1:$B$1001,customers!$C$1:$C$1001,,0)=0,"",_xlfn.XLOOKUP(F528,customers!$B$1:$B$1001,customers!$C$1:$C$1001,,0))</f>
        <v>wspeechlyem@amazon.com</v>
      </c>
      <c r="H528" s="2" t="str">
        <f>_xlfn.XLOOKUP(C528,customers!$A$1:$A$1001,customers!$G$1:$G$1001,,0)</f>
        <v>United States</v>
      </c>
      <c r="I528" t="str">
        <f>_xlfn.XLOOKUP(D528,products!$A$1:$A$49,products!$B$1:$B$49,,0)</f>
        <v>Exc</v>
      </c>
      <c r="J528" t="str">
        <f>_xlfn.XLOOKUP(D528,products!$A$1:$A$49,products!$C$1:$C$49,,0)</f>
        <v>M</v>
      </c>
      <c r="K528" s="5">
        <f>_xlfn.XLOOKUP(D528,products!$A$1:$A$49,products!$D$1:$D$49,,0)</f>
        <v>2.5</v>
      </c>
      <c r="L528" s="7">
        <f>_xlfn.XLOOKUP(D528,products!$A$1:$A$49,products!$E$1:$E$49,,0)</f>
        <v>31.624999999999996</v>
      </c>
      <c r="M528" s="7">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IF(_xlfn.XLOOKUP(F529,customers!$B$1:$B$1001,customers!$C$1:$C$1001,,0)=0,"",_xlfn.XLOOKUP(F529,customers!$B$1:$B$1001,customers!$C$1:$C$1001,,0))</f>
        <v>iphillpoten@buzzfeed.com</v>
      </c>
      <c r="H529" s="2" t="str">
        <f>_xlfn.XLOOKUP(C529,customers!$A$1:$A$1001,customers!$G$1:$G$1001,,0)</f>
        <v>United Kingdom</v>
      </c>
      <c r="I529" t="str">
        <f>_xlfn.XLOOKUP(D529,products!$A$1:$A$49,products!$B$1:$B$49,,0)</f>
        <v>Exc</v>
      </c>
      <c r="J529" t="str">
        <f>_xlfn.XLOOKUP(D529,products!$A$1:$A$49,products!$C$1:$C$49,,0)</f>
        <v>M</v>
      </c>
      <c r="K529" s="5">
        <f>_xlfn.XLOOKUP(D529,products!$A$1:$A$49,products!$D$1:$D$49,,0)</f>
        <v>0.5</v>
      </c>
      <c r="L529" s="7">
        <f>_xlfn.XLOOKUP(D529,products!$A$1:$A$49,products!$E$1:$E$49,,0)</f>
        <v>8.25</v>
      </c>
      <c r="M529" s="7">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IF(_xlfn.XLOOKUP(F530,customers!$B$1:$B$1001,customers!$C$1:$C$1001,,0)=0,"",_xlfn.XLOOKUP(F530,customers!$B$1:$B$1001,customers!$C$1:$C$1001,,0))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5">
        <f>_xlfn.XLOOKUP(D530,products!$A$1:$A$49,products!$D$1:$D$49,,0)</f>
        <v>0.5</v>
      </c>
      <c r="L530" s="7">
        <f>_xlfn.XLOOKUP(D530,products!$A$1:$A$49,products!$E$1:$E$49,,0)</f>
        <v>8.91</v>
      </c>
      <c r="M530" s="7">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IF(_xlfn.XLOOKUP(F531,customers!$B$1:$B$1001,customers!$C$1:$C$1001,,0)=0,"",_xlfn.XLOOKUP(F531,customers!$B$1:$B$1001,customers!$C$1:$C$1001,,0))</f>
        <v>sarpinep@moonfruit.com</v>
      </c>
      <c r="H531" s="2" t="str">
        <f>_xlfn.XLOOKUP(C531,customers!$A$1:$A$1001,customers!$G$1:$G$1001,,0)</f>
        <v>United States</v>
      </c>
      <c r="I531" t="str">
        <f>_xlfn.XLOOKUP(D531,products!$A$1:$A$49,products!$B$1:$B$49,,0)</f>
        <v>Rob</v>
      </c>
      <c r="J531" t="str">
        <f>_xlfn.XLOOKUP(D531,products!$A$1:$A$49,products!$C$1:$C$49,,0)</f>
        <v>M</v>
      </c>
      <c r="K531" s="5">
        <f>_xlfn.XLOOKUP(D531,products!$A$1:$A$49,products!$D$1:$D$49,,0)</f>
        <v>1</v>
      </c>
      <c r="L531" s="7">
        <f>_xlfn.XLOOKUP(D531,products!$A$1:$A$49,products!$E$1:$E$49,,0)</f>
        <v>9.9499999999999993</v>
      </c>
      <c r="M531" s="7">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IF(_xlfn.XLOOKUP(F532,customers!$B$1:$B$1001,customers!$C$1:$C$1001,,0)=0,"",_xlfn.XLOOKUP(F532,customers!$B$1:$B$1001,customers!$C$1:$C$1001,,0))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5">
        <f>_xlfn.XLOOKUP(D532,products!$A$1:$A$49,products!$D$1:$D$49,,0)</f>
        <v>1</v>
      </c>
      <c r="L532" s="7">
        <f>_xlfn.XLOOKUP(D532,products!$A$1:$A$49,products!$E$1:$E$49,,0)</f>
        <v>9.9499999999999993</v>
      </c>
      <c r="M532" s="7">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IF(_xlfn.XLOOKUP(F533,customers!$B$1:$B$1001,customers!$C$1:$C$1001,,0)=0,"",_xlfn.XLOOKUP(F533,customers!$B$1:$B$1001,customers!$C$1:$C$1001,,0))</f>
        <v>rsharerer@flavors.me</v>
      </c>
      <c r="H533" s="2" t="str">
        <f>_xlfn.XLOOKUP(C533,customers!$A$1:$A$1001,customers!$G$1:$G$1001,,0)</f>
        <v>United States</v>
      </c>
      <c r="I533" t="str">
        <f>_xlfn.XLOOKUP(D533,products!$A$1:$A$49,products!$B$1:$B$49,,0)</f>
        <v>Rob</v>
      </c>
      <c r="J533" t="str">
        <f>_xlfn.XLOOKUP(D533,products!$A$1:$A$49,products!$C$1:$C$49,,0)</f>
        <v>D</v>
      </c>
      <c r="K533" s="5">
        <f>_xlfn.XLOOKUP(D533,products!$A$1:$A$49,products!$D$1:$D$49,,0)</f>
        <v>1</v>
      </c>
      <c r="L533" s="7">
        <f>_xlfn.XLOOKUP(D533,products!$A$1:$A$49,products!$E$1:$E$49,,0)</f>
        <v>8.9499999999999993</v>
      </c>
      <c r="M533" s="7">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IF(_xlfn.XLOOKUP(F534,customers!$B$1:$B$1001,customers!$C$1:$C$1001,,0)=0,"",_xlfn.XLOOKUP(F534,customers!$B$1:$B$1001,customers!$C$1:$C$1001,,0))</f>
        <v>nnasebyes@umich.edu</v>
      </c>
      <c r="H534" s="2" t="str">
        <f>_xlfn.XLOOKUP(C534,customers!$A$1:$A$1001,customers!$G$1:$G$1001,,0)</f>
        <v>United States</v>
      </c>
      <c r="I534" t="str">
        <f>_xlfn.XLOOKUP(D534,products!$A$1:$A$49,products!$B$1:$B$49,,0)</f>
        <v>Exc</v>
      </c>
      <c r="J534" t="str">
        <f>_xlfn.XLOOKUP(D534,products!$A$1:$A$49,products!$C$1:$C$49,,0)</f>
        <v>M</v>
      </c>
      <c r="K534" s="5">
        <f>_xlfn.XLOOKUP(D534,products!$A$1:$A$49,products!$D$1:$D$49,,0)</f>
        <v>0.5</v>
      </c>
      <c r="L534" s="7">
        <f>_xlfn.XLOOKUP(D534,products!$A$1:$A$49,products!$E$1:$E$49,,0)</f>
        <v>8.25</v>
      </c>
      <c r="M534" s="7">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IF(_xlfn.XLOOKUP(F535,customers!$B$1:$B$1001,customers!$C$1:$C$1001,,0)=0,"",_xlfn.XLOOKUP(F535,customers!$B$1:$B$1001,customers!$C$1:$C$1001,,0))</f>
        <v/>
      </c>
      <c r="H535" s="2" t="str">
        <f>_xlfn.XLOOKUP(C535,customers!$A$1:$A$1001,customers!$G$1:$G$1001,,0)</f>
        <v>United States</v>
      </c>
      <c r="I535" t="str">
        <f>_xlfn.XLOOKUP(D535,products!$A$1:$A$49,products!$B$1:$B$49,,0)</f>
        <v>Rob</v>
      </c>
      <c r="J535" t="str">
        <f>_xlfn.XLOOKUP(D535,products!$A$1:$A$49,products!$C$1:$C$49,,0)</f>
        <v>D</v>
      </c>
      <c r="K535" s="5">
        <f>_xlfn.XLOOKUP(D535,products!$A$1:$A$49,products!$D$1:$D$49,,0)</f>
        <v>0.5</v>
      </c>
      <c r="L535" s="7">
        <f>_xlfn.XLOOKUP(D535,products!$A$1:$A$49,products!$E$1:$E$49,,0)</f>
        <v>5.3699999999999992</v>
      </c>
      <c r="M535" s="7">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IF(_xlfn.XLOOKUP(F536,customers!$B$1:$B$1001,customers!$C$1:$C$1001,,0)=0,"",_xlfn.XLOOKUP(F536,customers!$B$1:$B$1001,customers!$C$1:$C$1001,,0))</f>
        <v>koculleneu@ca.gov</v>
      </c>
      <c r="H536" s="2" t="str">
        <f>_xlfn.XLOOKUP(C536,customers!$A$1:$A$1001,customers!$G$1:$G$1001,,0)</f>
        <v>Ireland</v>
      </c>
      <c r="I536" t="str">
        <f>_xlfn.XLOOKUP(D536,products!$A$1:$A$49,products!$B$1:$B$49,,0)</f>
        <v>Rob</v>
      </c>
      <c r="J536" t="str">
        <f>_xlfn.XLOOKUP(D536,products!$A$1:$A$49,products!$C$1:$C$49,,0)</f>
        <v>M</v>
      </c>
      <c r="K536" s="5">
        <f>_xlfn.XLOOKUP(D536,products!$A$1:$A$49,products!$D$1:$D$49,,0)</f>
        <v>2.5</v>
      </c>
      <c r="L536" s="7">
        <f>_xlfn.XLOOKUP(D536,products!$A$1:$A$49,products!$E$1:$E$49,,0)</f>
        <v>22.884999999999998</v>
      </c>
      <c r="M536" s="7">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IF(_xlfn.XLOOKUP(F537,customers!$B$1:$B$1001,customers!$C$1:$C$1001,,0)=0,"",_xlfn.XLOOKUP(F537,customers!$B$1:$B$1001,customers!$C$1:$C$1001,,0))</f>
        <v/>
      </c>
      <c r="H537" s="2" t="str">
        <f>_xlfn.XLOOKUP(C537,customers!$A$1:$A$1001,customers!$G$1:$G$1001,,0)</f>
        <v>Ireland</v>
      </c>
      <c r="I537" t="str">
        <f>_xlfn.XLOOKUP(D537,products!$A$1:$A$49,products!$B$1:$B$49,,0)</f>
        <v>Lib</v>
      </c>
      <c r="J537" t="str">
        <f>_xlfn.XLOOKUP(D537,products!$A$1:$A$49,products!$C$1:$C$49,,0)</f>
        <v>L</v>
      </c>
      <c r="K537" s="5">
        <f>_xlfn.XLOOKUP(D537,products!$A$1:$A$49,products!$D$1:$D$49,,0)</f>
        <v>0.2</v>
      </c>
      <c r="L537" s="7">
        <f>_xlfn.XLOOKUP(D537,products!$A$1:$A$49,products!$E$1:$E$49,,0)</f>
        <v>4.7549999999999999</v>
      </c>
      <c r="M537" s="7">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IF(_xlfn.XLOOKUP(F538,customers!$B$1:$B$1001,customers!$C$1:$C$1001,,0)=0,"",_xlfn.XLOOKUP(F538,customers!$B$1:$B$1001,customers!$C$1:$C$1001,,0))</f>
        <v>murione5@alexa.com</v>
      </c>
      <c r="H538" s="2" t="str">
        <f>_xlfn.XLOOKUP(C538,customers!$A$1:$A$1001,customers!$G$1:$G$1001,,0)</f>
        <v>Ireland</v>
      </c>
      <c r="I538" t="str">
        <f>_xlfn.XLOOKUP(D538,products!$A$1:$A$49,products!$B$1:$B$49,,0)</f>
        <v>Rob</v>
      </c>
      <c r="J538" t="str">
        <f>_xlfn.XLOOKUP(D538,products!$A$1:$A$49,products!$C$1:$C$49,,0)</f>
        <v>D</v>
      </c>
      <c r="K538" s="5">
        <f>_xlfn.XLOOKUP(D538,products!$A$1:$A$49,products!$D$1:$D$49,,0)</f>
        <v>0.2</v>
      </c>
      <c r="L538" s="7">
        <f>_xlfn.XLOOKUP(D538,products!$A$1:$A$49,products!$E$1:$E$49,,0)</f>
        <v>2.6849999999999996</v>
      </c>
      <c r="M538" s="7">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IF(_xlfn.XLOOKUP(F539,customers!$B$1:$B$1001,customers!$C$1:$C$1001,,0)=0,"",_xlfn.XLOOKUP(F539,customers!$B$1:$B$1001,customers!$C$1:$C$1001,,0))</f>
        <v>hbranganex@woothemes.com</v>
      </c>
      <c r="H539" s="2" t="str">
        <f>_xlfn.XLOOKUP(C539,customers!$A$1:$A$1001,customers!$G$1:$G$1001,,0)</f>
        <v>United States</v>
      </c>
      <c r="I539" t="str">
        <f>_xlfn.XLOOKUP(D539,products!$A$1:$A$49,products!$B$1:$B$49,,0)</f>
        <v>Exc</v>
      </c>
      <c r="J539" t="str">
        <f>_xlfn.XLOOKUP(D539,products!$A$1:$A$49,products!$C$1:$C$49,,0)</f>
        <v>D</v>
      </c>
      <c r="K539" s="5">
        <f>_xlfn.XLOOKUP(D539,products!$A$1:$A$49,products!$D$1:$D$49,,0)</f>
        <v>2.5</v>
      </c>
      <c r="L539" s="7">
        <f>_xlfn.XLOOKUP(D539,products!$A$1:$A$49,products!$E$1:$E$49,,0)</f>
        <v>27.945</v>
      </c>
      <c r="M539" s="7">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IF(_xlfn.XLOOKUP(F540,customers!$B$1:$B$1001,customers!$C$1:$C$1001,,0)=0,"",_xlfn.XLOOKUP(F540,customers!$B$1:$B$1001,customers!$C$1:$C$1001,,0))</f>
        <v>agallyoney@engadget.com</v>
      </c>
      <c r="H540" s="2" t="str">
        <f>_xlfn.XLOOKUP(C540,customers!$A$1:$A$1001,customers!$G$1:$G$1001,,0)</f>
        <v>United States</v>
      </c>
      <c r="I540" t="str">
        <f>_xlfn.XLOOKUP(D540,products!$A$1:$A$49,products!$B$1:$B$49,,0)</f>
        <v>Rob</v>
      </c>
      <c r="J540" t="str">
        <f>_xlfn.XLOOKUP(D540,products!$A$1:$A$49,products!$C$1:$C$49,,0)</f>
        <v>D</v>
      </c>
      <c r="K540" s="5">
        <f>_xlfn.XLOOKUP(D540,products!$A$1:$A$49,products!$D$1:$D$49,,0)</f>
        <v>0.2</v>
      </c>
      <c r="L540" s="7">
        <f>_xlfn.XLOOKUP(D540,products!$A$1:$A$49,products!$E$1:$E$49,,0)</f>
        <v>2.6849999999999996</v>
      </c>
      <c r="M540" s="7">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IF(_xlfn.XLOOKUP(F541,customers!$B$1:$B$1001,customers!$C$1:$C$1001,,0)=0,"",_xlfn.XLOOKUP(F541,customers!$B$1:$B$1001,customers!$C$1:$C$1001,,0))</f>
        <v>bdomangeez@yahoo.co.jp</v>
      </c>
      <c r="H541" s="2" t="str">
        <f>_xlfn.XLOOKUP(C541,customers!$A$1:$A$1001,customers!$G$1:$G$1001,,0)</f>
        <v>United States</v>
      </c>
      <c r="I541" t="str">
        <f>_xlfn.XLOOKUP(D541,products!$A$1:$A$49,products!$B$1:$B$49,,0)</f>
        <v>Rob</v>
      </c>
      <c r="J541" t="str">
        <f>_xlfn.XLOOKUP(D541,products!$A$1:$A$49,products!$C$1:$C$49,,0)</f>
        <v>D</v>
      </c>
      <c r="K541" s="5">
        <f>_xlfn.XLOOKUP(D541,products!$A$1:$A$49,products!$D$1:$D$49,,0)</f>
        <v>0.5</v>
      </c>
      <c r="L541" s="7">
        <f>_xlfn.XLOOKUP(D541,products!$A$1:$A$49,products!$E$1:$E$49,,0)</f>
        <v>5.3699999999999992</v>
      </c>
      <c r="M541" s="7">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IF(_xlfn.XLOOKUP(F542,customers!$B$1:$B$1001,customers!$C$1:$C$1001,,0)=0,"",_xlfn.XLOOKUP(F542,customers!$B$1:$B$1001,customers!$C$1:$C$1001,,0))</f>
        <v>koslerf0@gmpg.org</v>
      </c>
      <c r="H542" s="2" t="str">
        <f>_xlfn.XLOOKUP(C542,customers!$A$1:$A$1001,customers!$G$1:$G$1001,,0)</f>
        <v>United States</v>
      </c>
      <c r="I542" t="str">
        <f>_xlfn.XLOOKUP(D542,products!$A$1:$A$49,products!$B$1:$B$49,,0)</f>
        <v>Lib</v>
      </c>
      <c r="J542" t="str">
        <f>_xlfn.XLOOKUP(D542,products!$A$1:$A$49,products!$C$1:$C$49,,0)</f>
        <v>L</v>
      </c>
      <c r="K542" s="5">
        <f>_xlfn.XLOOKUP(D542,products!$A$1:$A$49,products!$D$1:$D$49,,0)</f>
        <v>1</v>
      </c>
      <c r="L542" s="7">
        <f>_xlfn.XLOOKUP(D542,products!$A$1:$A$49,products!$E$1:$E$49,,0)</f>
        <v>15.85</v>
      </c>
      <c r="M542" s="7">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IF(_xlfn.XLOOKUP(F543,customers!$B$1:$B$1001,customers!$C$1:$C$1001,,0)=0,"",_xlfn.XLOOKUP(F543,customers!$B$1:$B$1001,customers!$C$1:$C$1001,,0))</f>
        <v/>
      </c>
      <c r="H543" s="2" t="str">
        <f>_xlfn.XLOOKUP(C543,customers!$A$1:$A$1001,customers!$G$1:$G$1001,,0)</f>
        <v>Ireland</v>
      </c>
      <c r="I543" t="str">
        <f>_xlfn.XLOOKUP(D543,products!$A$1:$A$49,products!$B$1:$B$49,,0)</f>
        <v>Ara</v>
      </c>
      <c r="J543" t="str">
        <f>_xlfn.XLOOKUP(D543,products!$A$1:$A$49,products!$C$1:$C$49,,0)</f>
        <v>D</v>
      </c>
      <c r="K543" s="5">
        <f>_xlfn.XLOOKUP(D543,products!$A$1:$A$49,products!$D$1:$D$49,,0)</f>
        <v>2.5</v>
      </c>
      <c r="L543" s="7">
        <f>_xlfn.XLOOKUP(D543,products!$A$1:$A$49,products!$E$1:$E$49,,0)</f>
        <v>22.884999999999998</v>
      </c>
      <c r="M543" s="7">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IF(_xlfn.XLOOKUP(F544,customers!$B$1:$B$1001,customers!$C$1:$C$1001,,0)=0,"",_xlfn.XLOOKUP(F544,customers!$B$1:$B$1001,customers!$C$1:$C$1001,,0))</f>
        <v>zpellettf2@dailymotion.com</v>
      </c>
      <c r="H544" s="2" t="str">
        <f>_xlfn.XLOOKUP(C544,customers!$A$1:$A$1001,customers!$G$1:$G$1001,,0)</f>
        <v>United States</v>
      </c>
      <c r="I544" t="str">
        <f>_xlfn.XLOOKUP(D544,products!$A$1:$A$49,products!$B$1:$B$49,,0)</f>
        <v>Ara</v>
      </c>
      <c r="J544" t="str">
        <f>_xlfn.XLOOKUP(D544,products!$A$1:$A$49,products!$C$1:$C$49,,0)</f>
        <v>M</v>
      </c>
      <c r="K544" s="5">
        <f>_xlfn.XLOOKUP(D544,products!$A$1:$A$49,products!$D$1:$D$49,,0)</f>
        <v>2.5</v>
      </c>
      <c r="L544" s="7">
        <f>_xlfn.XLOOKUP(D544,products!$A$1:$A$49,products!$E$1:$E$49,,0)</f>
        <v>25.874999999999996</v>
      </c>
      <c r="M544" s="7">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IF(_xlfn.XLOOKUP(F545,customers!$B$1:$B$1001,customers!$C$1:$C$1001,,0)=0,"",_xlfn.XLOOKUP(F545,customers!$B$1:$B$1001,customers!$C$1:$C$1001,,0))</f>
        <v>isprakesf3@spiegel.de</v>
      </c>
      <c r="H545" s="2" t="str">
        <f>_xlfn.XLOOKUP(C545,customers!$A$1:$A$1001,customers!$G$1:$G$1001,,0)</f>
        <v>United States</v>
      </c>
      <c r="I545" t="str">
        <f>_xlfn.XLOOKUP(D545,products!$A$1:$A$49,products!$B$1:$B$49,,0)</f>
        <v>Rob</v>
      </c>
      <c r="J545" t="str">
        <f>_xlfn.XLOOKUP(D545,products!$A$1:$A$49,products!$C$1:$C$49,,0)</f>
        <v>L</v>
      </c>
      <c r="K545" s="5">
        <f>_xlfn.XLOOKUP(D545,products!$A$1:$A$49,products!$D$1:$D$49,,0)</f>
        <v>2.5</v>
      </c>
      <c r="L545" s="7">
        <f>_xlfn.XLOOKUP(D545,products!$A$1:$A$49,products!$E$1:$E$49,,0)</f>
        <v>27.484999999999996</v>
      </c>
      <c r="M545" s="7">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IF(_xlfn.XLOOKUP(F546,customers!$B$1:$B$1001,customers!$C$1:$C$1001,,0)=0,"",_xlfn.XLOOKUP(F546,customers!$B$1:$B$1001,customers!$C$1:$C$1001,,0))</f>
        <v>hfromantf4@ucsd.edu</v>
      </c>
      <c r="H546" s="2" t="str">
        <f>_xlfn.XLOOKUP(C546,customers!$A$1:$A$1001,customers!$G$1:$G$1001,,0)</f>
        <v>United States</v>
      </c>
      <c r="I546" t="str">
        <f>_xlfn.XLOOKUP(D546,products!$A$1:$A$49,products!$B$1:$B$49,,0)</f>
        <v>Ara</v>
      </c>
      <c r="J546" t="str">
        <f>_xlfn.XLOOKUP(D546,products!$A$1:$A$49,products!$C$1:$C$49,,0)</f>
        <v>L</v>
      </c>
      <c r="K546" s="5">
        <f>_xlfn.XLOOKUP(D546,products!$A$1:$A$49,products!$D$1:$D$49,,0)</f>
        <v>0.5</v>
      </c>
      <c r="L546" s="7">
        <f>_xlfn.XLOOKUP(D546,products!$A$1:$A$49,products!$E$1:$E$49,,0)</f>
        <v>7.77</v>
      </c>
      <c r="M546" s="7">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IF(_xlfn.XLOOKUP(F547,customers!$B$1:$B$1001,customers!$C$1:$C$1001,,0)=0,"",_xlfn.XLOOKUP(F547,customers!$B$1:$B$1001,customers!$C$1:$C$1001,,0))</f>
        <v>rflearf5@artisteer.com</v>
      </c>
      <c r="H547" s="2" t="str">
        <f>_xlfn.XLOOKUP(C547,customers!$A$1:$A$1001,customers!$G$1:$G$1001,,0)</f>
        <v>United Kingdom</v>
      </c>
      <c r="I547" t="str">
        <f>_xlfn.XLOOKUP(D547,products!$A$1:$A$49,products!$B$1:$B$49,,0)</f>
        <v>Lib</v>
      </c>
      <c r="J547" t="str">
        <f>_xlfn.XLOOKUP(D547,products!$A$1:$A$49,products!$C$1:$C$49,,0)</f>
        <v>D</v>
      </c>
      <c r="K547" s="5">
        <f>_xlfn.XLOOKUP(D547,products!$A$1:$A$49,products!$D$1:$D$49,,0)</f>
        <v>0.2</v>
      </c>
      <c r="L547" s="7">
        <f>_xlfn.XLOOKUP(D547,products!$A$1:$A$49,products!$E$1:$E$49,,0)</f>
        <v>3.8849999999999998</v>
      </c>
      <c r="M547" s="7">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IF(_xlfn.XLOOKUP(F548,customers!$B$1:$B$1001,customers!$C$1:$C$1001,,0)=0,"",_xlfn.XLOOKUP(F548,customers!$B$1:$B$1001,customers!$C$1:$C$1001,,0))</f>
        <v/>
      </c>
      <c r="H548" s="2" t="str">
        <f>_xlfn.XLOOKUP(C548,customers!$A$1:$A$1001,customers!$G$1:$G$1001,,0)</f>
        <v>Ireland</v>
      </c>
      <c r="I548" t="str">
        <f>_xlfn.XLOOKUP(D548,products!$A$1:$A$49,products!$B$1:$B$49,,0)</f>
        <v>Exc</v>
      </c>
      <c r="J548" t="str">
        <f>_xlfn.XLOOKUP(D548,products!$A$1:$A$49,products!$C$1:$C$49,,0)</f>
        <v>D</v>
      </c>
      <c r="K548" s="5">
        <f>_xlfn.XLOOKUP(D548,products!$A$1:$A$49,products!$D$1:$D$49,,0)</f>
        <v>2.5</v>
      </c>
      <c r="L548" s="7">
        <f>_xlfn.XLOOKUP(D548,products!$A$1:$A$49,products!$E$1:$E$49,,0)</f>
        <v>27.945</v>
      </c>
      <c r="M548" s="7">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IF(_xlfn.XLOOKUP(F549,customers!$B$1:$B$1001,customers!$C$1:$C$1001,,0)=0,"",_xlfn.XLOOKUP(F549,customers!$B$1:$B$1001,customers!$C$1:$C$1001,,0))</f>
        <v>wlightollersf9@baidu.com</v>
      </c>
      <c r="H549" s="2" t="str">
        <f>_xlfn.XLOOKUP(C549,customers!$A$1:$A$1001,customers!$G$1:$G$1001,,0)</f>
        <v>United States</v>
      </c>
      <c r="I549" t="str">
        <f>_xlfn.XLOOKUP(D549,products!$A$1:$A$49,products!$B$1:$B$49,,0)</f>
        <v>Rob</v>
      </c>
      <c r="J549" t="str">
        <f>_xlfn.XLOOKUP(D549,products!$A$1:$A$49,products!$C$1:$C$49,,0)</f>
        <v>L</v>
      </c>
      <c r="K549" s="5">
        <f>_xlfn.XLOOKUP(D549,products!$A$1:$A$49,products!$D$1:$D$49,,0)</f>
        <v>0.2</v>
      </c>
      <c r="L549" s="7">
        <f>_xlfn.XLOOKUP(D549,products!$A$1:$A$49,products!$E$1:$E$49,,0)</f>
        <v>3.5849999999999995</v>
      </c>
      <c r="M549" s="7">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IF(_xlfn.XLOOKUP(F550,customers!$B$1:$B$1001,customers!$C$1:$C$1001,,0)=0,"",_xlfn.XLOOKUP(F550,customers!$B$1:$B$1001,customers!$C$1:$C$1001,,0))</f>
        <v>bmundenf8@elpais.com</v>
      </c>
      <c r="H550" s="2" t="str">
        <f>_xlfn.XLOOKUP(C550,customers!$A$1:$A$1001,customers!$G$1:$G$1001,,0)</f>
        <v>United States</v>
      </c>
      <c r="I550" t="str">
        <f>_xlfn.XLOOKUP(D550,products!$A$1:$A$49,products!$B$1:$B$49,,0)</f>
        <v>Exc</v>
      </c>
      <c r="J550" t="str">
        <f>_xlfn.XLOOKUP(D550,products!$A$1:$A$49,products!$C$1:$C$49,,0)</f>
        <v>L</v>
      </c>
      <c r="K550" s="5">
        <f>_xlfn.XLOOKUP(D550,products!$A$1:$A$49,products!$D$1:$D$49,,0)</f>
        <v>0.2</v>
      </c>
      <c r="L550" s="7">
        <f>_xlfn.XLOOKUP(D550,products!$A$1:$A$49,products!$E$1:$E$49,,0)</f>
        <v>4.4550000000000001</v>
      </c>
      <c r="M550" s="7">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IF(_xlfn.XLOOKUP(F551,customers!$B$1:$B$1001,customers!$C$1:$C$1001,,0)=0,"",_xlfn.XLOOKUP(F551,customers!$B$1:$B$1001,customers!$C$1:$C$1001,,0))</f>
        <v>wlightollersf9@baidu.com</v>
      </c>
      <c r="H551" s="2" t="str">
        <f>_xlfn.XLOOKUP(C551,customers!$A$1:$A$1001,customers!$G$1:$G$1001,,0)</f>
        <v>United States</v>
      </c>
      <c r="I551" t="str">
        <f>_xlfn.XLOOKUP(D551,products!$A$1:$A$49,products!$B$1:$B$49,,0)</f>
        <v>Exc</v>
      </c>
      <c r="J551" t="str">
        <f>_xlfn.XLOOKUP(D551,products!$A$1:$A$49,products!$C$1:$C$49,,0)</f>
        <v>L</v>
      </c>
      <c r="K551" s="5">
        <f>_xlfn.XLOOKUP(D551,products!$A$1:$A$49,products!$D$1:$D$49,,0)</f>
        <v>0.2</v>
      </c>
      <c r="L551" s="7">
        <f>_xlfn.XLOOKUP(D551,products!$A$1:$A$49,products!$E$1:$E$49,,0)</f>
        <v>4.4550000000000001</v>
      </c>
      <c r="M551" s="7">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IF(_xlfn.XLOOKUP(F552,customers!$B$1:$B$1001,customers!$C$1:$C$1001,,0)=0,"",_xlfn.XLOOKUP(F552,customers!$B$1:$B$1001,customers!$C$1:$C$1001,,0))</f>
        <v>nbrakespearfa@rediff.com</v>
      </c>
      <c r="H552" s="2" t="str">
        <f>_xlfn.XLOOKUP(C552,customers!$A$1:$A$1001,customers!$G$1:$G$1001,,0)</f>
        <v>United States</v>
      </c>
      <c r="I552" t="str">
        <f>_xlfn.XLOOKUP(D552,products!$A$1:$A$49,products!$B$1:$B$49,,0)</f>
        <v>Lib</v>
      </c>
      <c r="J552" t="str">
        <f>_xlfn.XLOOKUP(D552,products!$A$1:$A$49,products!$C$1:$C$49,,0)</f>
        <v>D</v>
      </c>
      <c r="K552" s="5">
        <f>_xlfn.XLOOKUP(D552,products!$A$1:$A$49,products!$D$1:$D$49,,0)</f>
        <v>0.2</v>
      </c>
      <c r="L552" s="7">
        <f>_xlfn.XLOOKUP(D552,products!$A$1:$A$49,products!$E$1:$E$49,,0)</f>
        <v>3.8849999999999998</v>
      </c>
      <c r="M552" s="7">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IF(_xlfn.XLOOKUP(F553,customers!$B$1:$B$1001,customers!$C$1:$C$1001,,0)=0,"",_xlfn.XLOOKUP(F553,customers!$B$1:$B$1001,customers!$C$1:$C$1001,,0))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5">
        <f>_xlfn.XLOOKUP(D553,products!$A$1:$A$49,products!$D$1:$D$49,,0)</f>
        <v>0.2</v>
      </c>
      <c r="L553" s="7">
        <f>_xlfn.XLOOKUP(D553,products!$A$1:$A$49,products!$E$1:$E$49,,0)</f>
        <v>3.645</v>
      </c>
      <c r="M553" s="7">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IF(_xlfn.XLOOKUP(F554,customers!$B$1:$B$1001,customers!$C$1:$C$1001,,0)=0,"",_xlfn.XLOOKUP(F554,customers!$B$1:$B$1001,customers!$C$1:$C$1001,,0))</f>
        <v>galbertsfc@etsy.com</v>
      </c>
      <c r="H554" s="2" t="str">
        <f>_xlfn.XLOOKUP(C554,customers!$A$1:$A$1001,customers!$G$1:$G$1001,,0)</f>
        <v>United Kingdom</v>
      </c>
      <c r="I554" t="str">
        <f>_xlfn.XLOOKUP(D554,products!$A$1:$A$49,products!$B$1:$B$49,,0)</f>
        <v>Exc</v>
      </c>
      <c r="J554" t="str">
        <f>_xlfn.XLOOKUP(D554,products!$A$1:$A$49,products!$C$1:$C$49,,0)</f>
        <v>L</v>
      </c>
      <c r="K554" s="5">
        <f>_xlfn.XLOOKUP(D554,products!$A$1:$A$49,products!$D$1:$D$49,,0)</f>
        <v>0.2</v>
      </c>
      <c r="L554" s="7">
        <f>_xlfn.XLOOKUP(D554,products!$A$1:$A$49,products!$E$1:$E$49,,0)</f>
        <v>4.4550000000000001</v>
      </c>
      <c r="M554" s="7">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IF(_xlfn.XLOOKUP(F555,customers!$B$1:$B$1001,customers!$C$1:$C$1001,,0)=0,"",_xlfn.XLOOKUP(F555,customers!$B$1:$B$1001,customers!$C$1:$C$1001,,0))</f>
        <v>vpolglasefd@about.me</v>
      </c>
      <c r="H555" s="2" t="str">
        <f>_xlfn.XLOOKUP(C555,customers!$A$1:$A$1001,customers!$G$1:$G$1001,,0)</f>
        <v>United States</v>
      </c>
      <c r="I555" t="str">
        <f>_xlfn.XLOOKUP(D555,products!$A$1:$A$49,products!$B$1:$B$49,,0)</f>
        <v>Exc</v>
      </c>
      <c r="J555" t="str">
        <f>_xlfn.XLOOKUP(D555,products!$A$1:$A$49,products!$C$1:$C$49,,0)</f>
        <v>M</v>
      </c>
      <c r="K555" s="5">
        <f>_xlfn.XLOOKUP(D555,products!$A$1:$A$49,products!$D$1:$D$49,,0)</f>
        <v>1</v>
      </c>
      <c r="L555" s="7">
        <f>_xlfn.XLOOKUP(D555,products!$A$1:$A$49,products!$E$1:$E$49,,0)</f>
        <v>13.75</v>
      </c>
      <c r="M555" s="7">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IF(_xlfn.XLOOKUP(F556,customers!$B$1:$B$1001,customers!$C$1:$C$1001,,0)=0,"",_xlfn.XLOOKUP(F556,customers!$B$1:$B$1001,customers!$C$1:$C$1001,,0))</f>
        <v/>
      </c>
      <c r="H556" s="2" t="str">
        <f>_xlfn.XLOOKUP(C556,customers!$A$1:$A$1001,customers!$G$1:$G$1001,,0)</f>
        <v>United Kingdom</v>
      </c>
      <c r="I556" t="str">
        <f>_xlfn.XLOOKUP(D556,products!$A$1:$A$49,products!$B$1:$B$49,,0)</f>
        <v>Rob</v>
      </c>
      <c r="J556" t="str">
        <f>_xlfn.XLOOKUP(D556,products!$A$1:$A$49,products!$C$1:$C$49,,0)</f>
        <v>L</v>
      </c>
      <c r="K556" s="5">
        <f>_xlfn.XLOOKUP(D556,products!$A$1:$A$49,products!$D$1:$D$49,,0)</f>
        <v>2.5</v>
      </c>
      <c r="L556" s="7">
        <f>_xlfn.XLOOKUP(D556,products!$A$1:$A$49,products!$E$1:$E$49,,0)</f>
        <v>27.484999999999996</v>
      </c>
      <c r="M556" s="7">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IF(_xlfn.XLOOKUP(F557,customers!$B$1:$B$1001,customers!$C$1:$C$1001,,0)=0,"",_xlfn.XLOOKUP(F557,customers!$B$1:$B$1001,customers!$C$1:$C$1001,,0))</f>
        <v>sbuschff@so-net.ne.jp</v>
      </c>
      <c r="H557" s="2" t="str">
        <f>_xlfn.XLOOKUP(C557,customers!$A$1:$A$1001,customers!$G$1:$G$1001,,0)</f>
        <v>Ireland</v>
      </c>
      <c r="I557" t="str">
        <f>_xlfn.XLOOKUP(D557,products!$A$1:$A$49,products!$B$1:$B$49,,0)</f>
        <v>Exc</v>
      </c>
      <c r="J557" t="str">
        <f>_xlfn.XLOOKUP(D557,products!$A$1:$A$49,products!$C$1:$C$49,,0)</f>
        <v>M</v>
      </c>
      <c r="K557" s="5">
        <f>_xlfn.XLOOKUP(D557,products!$A$1:$A$49,products!$D$1:$D$49,,0)</f>
        <v>1</v>
      </c>
      <c r="L557" s="7">
        <f>_xlfn.XLOOKUP(D557,products!$A$1:$A$49,products!$E$1:$E$49,,0)</f>
        <v>13.75</v>
      </c>
      <c r="M557" s="7">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IF(_xlfn.XLOOKUP(F558,customers!$B$1:$B$1001,customers!$C$1:$C$1001,,0)=0,"",_xlfn.XLOOKUP(F558,customers!$B$1:$B$1001,customers!$C$1:$C$1001,,0))</f>
        <v>craisbeckfg@webnode.com</v>
      </c>
      <c r="H558" s="2" t="str">
        <f>_xlfn.XLOOKUP(C558,customers!$A$1:$A$1001,customers!$G$1:$G$1001,,0)</f>
        <v>United States</v>
      </c>
      <c r="I558" t="str">
        <f>_xlfn.XLOOKUP(D558,products!$A$1:$A$49,products!$B$1:$B$49,,0)</f>
        <v>Lib</v>
      </c>
      <c r="J558" t="str">
        <f>_xlfn.XLOOKUP(D558,products!$A$1:$A$49,products!$C$1:$C$49,,0)</f>
        <v>M</v>
      </c>
      <c r="K558" s="5">
        <f>_xlfn.XLOOKUP(D558,products!$A$1:$A$49,products!$D$1:$D$49,,0)</f>
        <v>0.2</v>
      </c>
      <c r="L558" s="7">
        <f>_xlfn.XLOOKUP(D558,products!$A$1:$A$49,products!$E$1:$E$49,,0)</f>
        <v>4.3650000000000002</v>
      </c>
      <c r="M558" s="7">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IF(_xlfn.XLOOKUP(F559,customers!$B$1:$B$1001,customers!$C$1:$C$1001,,0)=0,"",_xlfn.XLOOKUP(F559,customers!$B$1:$B$1001,customers!$C$1:$C$1001,,0))</f>
        <v>murione5@alexa.com</v>
      </c>
      <c r="H559" s="2" t="str">
        <f>_xlfn.XLOOKUP(C559,customers!$A$1:$A$1001,customers!$G$1:$G$1001,,0)</f>
        <v>Ireland</v>
      </c>
      <c r="I559" t="str">
        <f>_xlfn.XLOOKUP(D559,products!$A$1:$A$49,products!$B$1:$B$49,,0)</f>
        <v>Exc</v>
      </c>
      <c r="J559" t="str">
        <f>_xlfn.XLOOKUP(D559,products!$A$1:$A$49,products!$C$1:$C$49,,0)</f>
        <v>L</v>
      </c>
      <c r="K559" s="5">
        <f>_xlfn.XLOOKUP(D559,products!$A$1:$A$49,products!$D$1:$D$49,,0)</f>
        <v>1</v>
      </c>
      <c r="L559" s="7">
        <f>_xlfn.XLOOKUP(D559,products!$A$1:$A$49,products!$E$1:$E$49,,0)</f>
        <v>14.85</v>
      </c>
      <c r="M559" s="7">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IF(_xlfn.XLOOKUP(F560,customers!$B$1:$B$1001,customers!$C$1:$C$1001,,0)=0,"",_xlfn.XLOOKUP(F560,customers!$B$1:$B$1001,customers!$C$1:$C$1001,,0))</f>
        <v/>
      </c>
      <c r="H560" s="2" t="str">
        <f>_xlfn.XLOOKUP(C560,customers!$A$1:$A$1001,customers!$G$1:$G$1001,,0)</f>
        <v>United States</v>
      </c>
      <c r="I560" t="str">
        <f>_xlfn.XLOOKUP(D560,products!$A$1:$A$49,products!$B$1:$B$49,,0)</f>
        <v>Lib</v>
      </c>
      <c r="J560" t="str">
        <f>_xlfn.XLOOKUP(D560,products!$A$1:$A$49,products!$C$1:$C$49,,0)</f>
        <v>D</v>
      </c>
      <c r="K560" s="5">
        <f>_xlfn.XLOOKUP(D560,products!$A$1:$A$49,products!$D$1:$D$49,,0)</f>
        <v>0.2</v>
      </c>
      <c r="L560" s="7">
        <f>_xlfn.XLOOKUP(D560,products!$A$1:$A$49,products!$E$1:$E$49,,0)</f>
        <v>3.8849999999999998</v>
      </c>
      <c r="M560" s="7">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IF(_xlfn.XLOOKUP(F561,customers!$B$1:$B$1001,customers!$C$1:$C$1001,,0)=0,"",_xlfn.XLOOKUP(F561,customers!$B$1:$B$1001,customers!$C$1:$C$1001,,0))</f>
        <v>raynoldfj@ustream.tv</v>
      </c>
      <c r="H561" s="2" t="str">
        <f>_xlfn.XLOOKUP(C561,customers!$A$1:$A$1001,customers!$G$1:$G$1001,,0)</f>
        <v>United States</v>
      </c>
      <c r="I561" t="str">
        <f>_xlfn.XLOOKUP(D561,products!$A$1:$A$49,products!$B$1:$B$49,,0)</f>
        <v>Ara</v>
      </c>
      <c r="J561" t="str">
        <f>_xlfn.XLOOKUP(D561,products!$A$1:$A$49,products!$C$1:$C$49,,0)</f>
        <v>L</v>
      </c>
      <c r="K561" s="5">
        <f>_xlfn.XLOOKUP(D561,products!$A$1:$A$49,products!$D$1:$D$49,,0)</f>
        <v>1</v>
      </c>
      <c r="L561" s="7">
        <f>_xlfn.XLOOKUP(D561,products!$A$1:$A$49,products!$E$1:$E$49,,0)</f>
        <v>12.95</v>
      </c>
      <c r="M561" s="7">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IF(_xlfn.XLOOKUP(F562,customers!$B$1:$B$1001,customers!$C$1:$C$1001,,0)=0,"",_xlfn.XLOOKUP(F562,customers!$B$1:$B$1001,customers!$C$1:$C$1001,,0))</f>
        <v/>
      </c>
      <c r="H562" s="2" t="str">
        <f>_xlfn.XLOOKUP(C562,customers!$A$1:$A$1001,customers!$G$1:$G$1001,,0)</f>
        <v>United States</v>
      </c>
      <c r="I562" t="str">
        <f>_xlfn.XLOOKUP(D562,products!$A$1:$A$49,products!$B$1:$B$49,,0)</f>
        <v>Exc</v>
      </c>
      <c r="J562" t="str">
        <f>_xlfn.XLOOKUP(D562,products!$A$1:$A$49,products!$C$1:$C$49,,0)</f>
        <v>M</v>
      </c>
      <c r="K562" s="5">
        <f>_xlfn.XLOOKUP(D562,products!$A$1:$A$49,products!$D$1:$D$49,,0)</f>
        <v>2.5</v>
      </c>
      <c r="L562" s="7">
        <f>_xlfn.XLOOKUP(D562,products!$A$1:$A$49,products!$E$1:$E$49,,0)</f>
        <v>31.624999999999996</v>
      </c>
      <c r="M562" s="7">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IF(_xlfn.XLOOKUP(F563,customers!$B$1:$B$1001,customers!$C$1:$C$1001,,0)=0,"",_xlfn.XLOOKUP(F563,customers!$B$1:$B$1001,customers!$C$1:$C$1001,,0))</f>
        <v/>
      </c>
      <c r="H563" s="2" t="str">
        <f>_xlfn.XLOOKUP(C563,customers!$A$1:$A$1001,customers!$G$1:$G$1001,,0)</f>
        <v>Ireland</v>
      </c>
      <c r="I563" t="str">
        <f>_xlfn.XLOOKUP(D563,products!$A$1:$A$49,products!$B$1:$B$49,,0)</f>
        <v>Ara</v>
      </c>
      <c r="J563" t="str">
        <f>_xlfn.XLOOKUP(D563,products!$A$1:$A$49,products!$C$1:$C$49,,0)</f>
        <v>D</v>
      </c>
      <c r="K563" s="5">
        <f>_xlfn.XLOOKUP(D563,products!$A$1:$A$49,products!$D$1:$D$49,,0)</f>
        <v>0.2</v>
      </c>
      <c r="L563" s="7">
        <f>_xlfn.XLOOKUP(D563,products!$A$1:$A$49,products!$E$1:$E$49,,0)</f>
        <v>2.9849999999999999</v>
      </c>
      <c r="M563" s="7">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IF(_xlfn.XLOOKUP(F564,customers!$B$1:$B$1001,customers!$C$1:$C$1001,,0)=0,"",_xlfn.XLOOKUP(F564,customers!$B$1:$B$1001,customers!$C$1:$C$1001,,0))</f>
        <v>bgrecefm@naver.com</v>
      </c>
      <c r="H564" s="2" t="str">
        <f>_xlfn.XLOOKUP(C564,customers!$A$1:$A$1001,customers!$G$1:$G$1001,,0)</f>
        <v>United Kingdom</v>
      </c>
      <c r="I564" t="str">
        <f>_xlfn.XLOOKUP(D564,products!$A$1:$A$49,products!$B$1:$B$49,,0)</f>
        <v>Lib</v>
      </c>
      <c r="J564" t="str">
        <f>_xlfn.XLOOKUP(D564,products!$A$1:$A$49,products!$C$1:$C$49,,0)</f>
        <v>L</v>
      </c>
      <c r="K564" s="5">
        <f>_xlfn.XLOOKUP(D564,products!$A$1:$A$49,products!$D$1:$D$49,,0)</f>
        <v>0.2</v>
      </c>
      <c r="L564" s="7">
        <f>_xlfn.XLOOKUP(D564,products!$A$1:$A$49,products!$E$1:$E$49,,0)</f>
        <v>4.7549999999999999</v>
      </c>
      <c r="M564" s="7">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IF(_xlfn.XLOOKUP(F565,customers!$B$1:$B$1001,customers!$C$1:$C$1001,,0)=0,"",_xlfn.XLOOKUP(F565,customers!$B$1:$B$1001,customers!$C$1:$C$1001,,0))</f>
        <v>dflintiffg1@e-recht24.de</v>
      </c>
      <c r="H565" s="2" t="str">
        <f>_xlfn.XLOOKUP(C565,customers!$A$1:$A$1001,customers!$G$1:$G$1001,,0)</f>
        <v>United Kingdom</v>
      </c>
      <c r="I565" t="str">
        <f>_xlfn.XLOOKUP(D565,products!$A$1:$A$49,products!$B$1:$B$49,,0)</f>
        <v>Exc</v>
      </c>
      <c r="J565" t="str">
        <f>_xlfn.XLOOKUP(D565,products!$A$1:$A$49,products!$C$1:$C$49,,0)</f>
        <v>M</v>
      </c>
      <c r="K565" s="5">
        <f>_xlfn.XLOOKUP(D565,products!$A$1:$A$49,products!$D$1:$D$49,,0)</f>
        <v>1</v>
      </c>
      <c r="L565" s="7">
        <f>_xlfn.XLOOKUP(D565,products!$A$1:$A$49,products!$E$1:$E$49,,0)</f>
        <v>13.75</v>
      </c>
      <c r="M565" s="7">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IF(_xlfn.XLOOKUP(F566,customers!$B$1:$B$1001,customers!$C$1:$C$1001,,0)=0,"",_xlfn.XLOOKUP(F566,customers!$B$1:$B$1001,customers!$C$1:$C$1001,,0))</f>
        <v>athysfo@cdc.gov</v>
      </c>
      <c r="H566" s="2" t="str">
        <f>_xlfn.XLOOKUP(C566,customers!$A$1:$A$1001,customers!$G$1:$G$1001,,0)</f>
        <v>United States</v>
      </c>
      <c r="I566" t="str">
        <f>_xlfn.XLOOKUP(D566,products!$A$1:$A$49,products!$B$1:$B$49,,0)</f>
        <v>Rob</v>
      </c>
      <c r="J566" t="str">
        <f>_xlfn.XLOOKUP(D566,products!$A$1:$A$49,products!$C$1:$C$49,,0)</f>
        <v>L</v>
      </c>
      <c r="K566" s="5">
        <f>_xlfn.XLOOKUP(D566,products!$A$1:$A$49,products!$D$1:$D$49,,0)</f>
        <v>0.5</v>
      </c>
      <c r="L566" s="7">
        <f>_xlfn.XLOOKUP(D566,products!$A$1:$A$49,products!$E$1:$E$49,,0)</f>
        <v>7.169999999999999</v>
      </c>
      <c r="M566" s="7">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IF(_xlfn.XLOOKUP(F567,customers!$B$1:$B$1001,customers!$C$1:$C$1001,,0)=0,"",_xlfn.XLOOKUP(F567,customers!$B$1:$B$1001,customers!$C$1:$C$1001,,0))</f>
        <v>jchuggfp@about.me</v>
      </c>
      <c r="H567" s="2" t="str">
        <f>_xlfn.XLOOKUP(C567,customers!$A$1:$A$1001,customers!$G$1:$G$1001,,0)</f>
        <v>United States</v>
      </c>
      <c r="I567" t="str">
        <f>_xlfn.XLOOKUP(D567,products!$A$1:$A$49,products!$B$1:$B$49,,0)</f>
        <v>Rob</v>
      </c>
      <c r="J567" t="str">
        <f>_xlfn.XLOOKUP(D567,products!$A$1:$A$49,products!$C$1:$C$49,,0)</f>
        <v>D</v>
      </c>
      <c r="K567" s="5">
        <f>_xlfn.XLOOKUP(D567,products!$A$1:$A$49,products!$D$1:$D$49,,0)</f>
        <v>2.5</v>
      </c>
      <c r="L567" s="7">
        <f>_xlfn.XLOOKUP(D567,products!$A$1:$A$49,products!$E$1:$E$49,,0)</f>
        <v>20.584999999999997</v>
      </c>
      <c r="M567" s="7">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IF(_xlfn.XLOOKUP(F568,customers!$B$1:$B$1001,customers!$C$1:$C$1001,,0)=0,"",_xlfn.XLOOKUP(F568,customers!$B$1:$B$1001,customers!$C$1:$C$1001,,0))</f>
        <v>akelstonfq@sakura.ne.jp</v>
      </c>
      <c r="H568" s="2" t="str">
        <f>_xlfn.XLOOKUP(C568,customers!$A$1:$A$1001,customers!$G$1:$G$1001,,0)</f>
        <v>United States</v>
      </c>
      <c r="I568" t="str">
        <f>_xlfn.XLOOKUP(D568,products!$A$1:$A$49,products!$B$1:$B$49,,0)</f>
        <v>Ara</v>
      </c>
      <c r="J568" t="str">
        <f>_xlfn.XLOOKUP(D568,products!$A$1:$A$49,products!$C$1:$C$49,,0)</f>
        <v>M</v>
      </c>
      <c r="K568" s="5">
        <f>_xlfn.XLOOKUP(D568,products!$A$1:$A$49,products!$D$1:$D$49,,0)</f>
        <v>0.2</v>
      </c>
      <c r="L568" s="7">
        <f>_xlfn.XLOOKUP(D568,products!$A$1:$A$49,products!$E$1:$E$49,,0)</f>
        <v>3.375</v>
      </c>
      <c r="M568" s="7">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IF(_xlfn.XLOOKUP(F569,customers!$B$1:$B$1001,customers!$C$1:$C$1001,,0)=0,"",_xlfn.XLOOKUP(F569,customers!$B$1:$B$1001,customers!$C$1:$C$1001,,0))</f>
        <v/>
      </c>
      <c r="H569" s="2" t="str">
        <f>_xlfn.XLOOKUP(C569,customers!$A$1:$A$1001,customers!$G$1:$G$1001,,0)</f>
        <v>Ireland</v>
      </c>
      <c r="I569" t="str">
        <f>_xlfn.XLOOKUP(D569,products!$A$1:$A$49,products!$B$1:$B$49,,0)</f>
        <v>Rob</v>
      </c>
      <c r="J569" t="str">
        <f>_xlfn.XLOOKUP(D569,products!$A$1:$A$49,products!$C$1:$C$49,,0)</f>
        <v>L</v>
      </c>
      <c r="K569" s="5">
        <f>_xlfn.XLOOKUP(D569,products!$A$1:$A$49,products!$D$1:$D$49,,0)</f>
        <v>2.5</v>
      </c>
      <c r="L569" s="7">
        <f>_xlfn.XLOOKUP(D569,products!$A$1:$A$49,products!$E$1:$E$49,,0)</f>
        <v>27.484999999999996</v>
      </c>
      <c r="M569" s="7">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IF(_xlfn.XLOOKUP(F570,customers!$B$1:$B$1001,customers!$C$1:$C$1001,,0)=0,"",_xlfn.XLOOKUP(F570,customers!$B$1:$B$1001,customers!$C$1:$C$1001,,0))</f>
        <v>cmottramfs@harvard.edu</v>
      </c>
      <c r="H570" s="2" t="str">
        <f>_xlfn.XLOOKUP(C570,customers!$A$1:$A$1001,customers!$G$1:$G$1001,,0)</f>
        <v>United States</v>
      </c>
      <c r="I570" t="str">
        <f>_xlfn.XLOOKUP(D570,products!$A$1:$A$49,products!$B$1:$B$49,,0)</f>
        <v>Lib</v>
      </c>
      <c r="J570" t="str">
        <f>_xlfn.XLOOKUP(D570,products!$A$1:$A$49,products!$C$1:$C$49,,0)</f>
        <v>L</v>
      </c>
      <c r="K570" s="5">
        <f>_xlfn.XLOOKUP(D570,products!$A$1:$A$49,products!$D$1:$D$49,,0)</f>
        <v>0.2</v>
      </c>
      <c r="L570" s="7">
        <f>_xlfn.XLOOKUP(D570,products!$A$1:$A$49,products!$E$1:$E$49,,0)</f>
        <v>4.7549999999999999</v>
      </c>
      <c r="M570" s="7">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IF(_xlfn.XLOOKUP(F571,customers!$B$1:$B$1001,customers!$C$1:$C$1001,,0)=0,"",_xlfn.XLOOKUP(F571,customers!$B$1:$B$1001,customers!$C$1:$C$1001,,0))</f>
        <v>dflintiffg1@e-recht24.de</v>
      </c>
      <c r="H571" s="2" t="str">
        <f>_xlfn.XLOOKUP(C571,customers!$A$1:$A$1001,customers!$G$1:$G$1001,,0)</f>
        <v>United Kingdom</v>
      </c>
      <c r="I571" t="str">
        <f>_xlfn.XLOOKUP(D571,products!$A$1:$A$49,products!$B$1:$B$49,,0)</f>
        <v>Ara</v>
      </c>
      <c r="J571" t="str">
        <f>_xlfn.XLOOKUP(D571,products!$A$1:$A$49,products!$C$1:$C$49,,0)</f>
        <v>D</v>
      </c>
      <c r="K571" s="5">
        <f>_xlfn.XLOOKUP(D571,products!$A$1:$A$49,products!$D$1:$D$49,,0)</f>
        <v>2.5</v>
      </c>
      <c r="L571" s="7">
        <f>_xlfn.XLOOKUP(D571,products!$A$1:$A$49,products!$E$1:$E$49,,0)</f>
        <v>22.884999999999998</v>
      </c>
      <c r="M571" s="7">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IF(_xlfn.XLOOKUP(F572,customers!$B$1:$B$1001,customers!$C$1:$C$1001,,0)=0,"",_xlfn.XLOOKUP(F572,customers!$B$1:$B$1001,customers!$C$1:$C$1001,,0))</f>
        <v>dsangwinfu@weebly.com</v>
      </c>
      <c r="H572" s="2" t="str">
        <f>_xlfn.XLOOKUP(C572,customers!$A$1:$A$1001,customers!$G$1:$G$1001,,0)</f>
        <v>United States</v>
      </c>
      <c r="I572" t="str">
        <f>_xlfn.XLOOKUP(D572,products!$A$1:$A$49,products!$B$1:$B$49,,0)</f>
        <v>Ara</v>
      </c>
      <c r="J572" t="str">
        <f>_xlfn.XLOOKUP(D572,products!$A$1:$A$49,products!$C$1:$C$49,,0)</f>
        <v>M</v>
      </c>
      <c r="K572" s="5">
        <f>_xlfn.XLOOKUP(D572,products!$A$1:$A$49,products!$D$1:$D$49,,0)</f>
        <v>0.5</v>
      </c>
      <c r="L572" s="7">
        <f>_xlfn.XLOOKUP(D572,products!$A$1:$A$49,products!$E$1:$E$49,,0)</f>
        <v>6.75</v>
      </c>
      <c r="M572" s="7">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IF(_xlfn.XLOOKUP(F573,customers!$B$1:$B$1001,customers!$C$1:$C$1001,,0)=0,"",_xlfn.XLOOKUP(F573,customers!$B$1:$B$1001,customers!$C$1:$C$1001,,0))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5">
        <f>_xlfn.XLOOKUP(D573,products!$A$1:$A$49,products!$D$1:$D$49,,0)</f>
        <v>0.5</v>
      </c>
      <c r="L573" s="7">
        <f>_xlfn.XLOOKUP(D573,products!$A$1:$A$49,products!$E$1:$E$49,,0)</f>
        <v>8.91</v>
      </c>
      <c r="M573" s="7">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IF(_xlfn.XLOOKUP(F574,customers!$B$1:$B$1001,customers!$C$1:$C$1001,,0)=0,"",_xlfn.XLOOKUP(F574,customers!$B$1:$B$1001,customers!$C$1:$C$1001,,0))</f>
        <v/>
      </c>
      <c r="H574" s="2" t="str">
        <f>_xlfn.XLOOKUP(C574,customers!$A$1:$A$1001,customers!$G$1:$G$1001,,0)</f>
        <v>United States</v>
      </c>
      <c r="I574" t="str">
        <f>_xlfn.XLOOKUP(D574,products!$A$1:$A$49,products!$B$1:$B$49,,0)</f>
        <v>Ara</v>
      </c>
      <c r="J574" t="str">
        <f>_xlfn.XLOOKUP(D574,products!$A$1:$A$49,products!$C$1:$C$49,,0)</f>
        <v>D</v>
      </c>
      <c r="K574" s="5">
        <f>_xlfn.XLOOKUP(D574,products!$A$1:$A$49,products!$D$1:$D$49,,0)</f>
        <v>0.2</v>
      </c>
      <c r="L574" s="7">
        <f>_xlfn.XLOOKUP(D574,products!$A$1:$A$49,products!$E$1:$E$49,,0)</f>
        <v>2.9849999999999999</v>
      </c>
      <c r="M574" s="7">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IF(_xlfn.XLOOKUP(F575,customers!$B$1:$B$1001,customers!$C$1:$C$1001,,0)=0,"",_xlfn.XLOOKUP(F575,customers!$B$1:$B$1001,customers!$C$1:$C$1001,,0))</f>
        <v>cvenourfx@ask.com</v>
      </c>
      <c r="H575" s="2" t="str">
        <f>_xlfn.XLOOKUP(C575,customers!$A$1:$A$1001,customers!$G$1:$G$1001,,0)</f>
        <v>United States</v>
      </c>
      <c r="I575" t="str">
        <f>_xlfn.XLOOKUP(D575,products!$A$1:$A$49,products!$B$1:$B$49,,0)</f>
        <v>Ara</v>
      </c>
      <c r="J575" t="str">
        <f>_xlfn.XLOOKUP(D575,products!$A$1:$A$49,products!$C$1:$C$49,,0)</f>
        <v>M</v>
      </c>
      <c r="K575" s="5">
        <f>_xlfn.XLOOKUP(D575,products!$A$1:$A$49,products!$D$1:$D$49,,0)</f>
        <v>1</v>
      </c>
      <c r="L575" s="7">
        <f>_xlfn.XLOOKUP(D575,products!$A$1:$A$49,products!$E$1:$E$49,,0)</f>
        <v>11.25</v>
      </c>
      <c r="M575" s="7">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IF(_xlfn.XLOOKUP(F576,customers!$B$1:$B$1001,customers!$C$1:$C$1001,,0)=0,"",_xlfn.XLOOKUP(F576,customers!$B$1:$B$1001,customers!$C$1:$C$1001,,0))</f>
        <v>mharbyfy@163.com</v>
      </c>
      <c r="H576" s="2" t="str">
        <f>_xlfn.XLOOKUP(C576,customers!$A$1:$A$1001,customers!$G$1:$G$1001,,0)</f>
        <v>United States</v>
      </c>
      <c r="I576" t="str">
        <f>_xlfn.XLOOKUP(D576,products!$A$1:$A$49,products!$B$1:$B$49,,0)</f>
        <v>Rob</v>
      </c>
      <c r="J576" t="str">
        <f>_xlfn.XLOOKUP(D576,products!$A$1:$A$49,products!$C$1:$C$49,,0)</f>
        <v>L</v>
      </c>
      <c r="K576" s="5">
        <f>_xlfn.XLOOKUP(D576,products!$A$1:$A$49,products!$D$1:$D$49,,0)</f>
        <v>0.2</v>
      </c>
      <c r="L576" s="7">
        <f>_xlfn.XLOOKUP(D576,products!$A$1:$A$49,products!$E$1:$E$49,,0)</f>
        <v>3.5849999999999995</v>
      </c>
      <c r="M576" s="7">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IF(_xlfn.XLOOKUP(F577,customers!$B$1:$B$1001,customers!$C$1:$C$1001,,0)=0,"",_xlfn.XLOOKUP(F577,customers!$B$1:$B$1001,customers!$C$1:$C$1001,,0))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5">
        <f>_xlfn.XLOOKUP(D577,products!$A$1:$A$49,products!$D$1:$D$49,,0)</f>
        <v>2.5</v>
      </c>
      <c r="L577" s="7">
        <f>_xlfn.XLOOKUP(D577,products!$A$1:$A$49,products!$E$1:$E$49,,0)</f>
        <v>33.464999999999996</v>
      </c>
      <c r="M577" s="7">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IF(_xlfn.XLOOKUP(F578,customers!$B$1:$B$1001,customers!$C$1:$C$1001,,0)=0,"",_xlfn.XLOOKUP(F578,customers!$B$1:$B$1001,customers!$C$1:$C$1001,,0))</f>
        <v>pormerodg0@redcross.org</v>
      </c>
      <c r="H578" s="2" t="str">
        <f>_xlfn.XLOOKUP(C578,customers!$A$1:$A$1001,customers!$G$1:$G$1001,,0)</f>
        <v>United States</v>
      </c>
      <c r="I578" t="str">
        <f>_xlfn.XLOOKUP(D578,products!$A$1:$A$49,products!$B$1:$B$49,,0)</f>
        <v>Ara</v>
      </c>
      <c r="J578" t="str">
        <f>_xlfn.XLOOKUP(D578,products!$A$1:$A$49,products!$C$1:$C$49,,0)</f>
        <v>D</v>
      </c>
      <c r="K578" s="5">
        <f>_xlfn.XLOOKUP(D578,products!$A$1:$A$49,products!$D$1:$D$49,,0)</f>
        <v>0.2</v>
      </c>
      <c r="L578" s="7">
        <f>_xlfn.XLOOKUP(D578,products!$A$1:$A$49,products!$E$1:$E$49,,0)</f>
        <v>2.9849999999999999</v>
      </c>
      <c r="M578" s="7">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IF(_xlfn.XLOOKUP(F579,customers!$B$1:$B$1001,customers!$C$1:$C$1001,,0)=0,"",_xlfn.XLOOKUP(F579,customers!$B$1:$B$1001,customers!$C$1:$C$1001,,0))</f>
        <v>dflintiffg1@e-recht24.de</v>
      </c>
      <c r="H579" s="2" t="str">
        <f>_xlfn.XLOOKUP(C579,customers!$A$1:$A$1001,customers!$G$1:$G$1001,,0)</f>
        <v>United Kingdom</v>
      </c>
      <c r="I579" t="str">
        <f>_xlfn.XLOOKUP(D579,products!$A$1:$A$49,products!$B$1:$B$49,,0)</f>
        <v>Lib</v>
      </c>
      <c r="J579" t="str">
        <f>_xlfn.XLOOKUP(D579,products!$A$1:$A$49,products!$C$1:$C$49,,0)</f>
        <v>M</v>
      </c>
      <c r="K579" s="5">
        <f>_xlfn.XLOOKUP(D579,products!$A$1:$A$49,products!$D$1:$D$49,,0)</f>
        <v>1</v>
      </c>
      <c r="L579" s="7">
        <f>_xlfn.XLOOKUP(D579,products!$A$1:$A$49,products!$E$1:$E$49,,0)</f>
        <v>14.55</v>
      </c>
      <c r="M579" s="7">
        <f t="shared" ref="M579:M642" si="27">(L579*E579)</f>
        <v>58.2</v>
      </c>
      <c r="N579" t="str">
        <f t="shared" ref="N579:N642" si="28">IF(I579="Rob","Robusta", 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IF(_xlfn.XLOOKUP(F580,customers!$B$1:$B$1001,customers!$C$1:$C$1001,,0)=0,"",_xlfn.XLOOKUP(F580,customers!$B$1:$B$1001,customers!$C$1:$C$1001,,0))</f>
        <v>tzanettig2@gravatar.com</v>
      </c>
      <c r="H580" s="2" t="str">
        <f>_xlfn.XLOOKUP(C580,customers!$A$1:$A$1001,customers!$G$1:$G$1001,,0)</f>
        <v>Ireland</v>
      </c>
      <c r="I580" t="str">
        <f>_xlfn.XLOOKUP(D580,products!$A$1:$A$49,products!$B$1:$B$49,,0)</f>
        <v>Exc</v>
      </c>
      <c r="J580" t="str">
        <f>_xlfn.XLOOKUP(D580,products!$A$1:$A$49,products!$C$1:$C$49,,0)</f>
        <v>L</v>
      </c>
      <c r="K580" s="5">
        <f>_xlfn.XLOOKUP(D580,products!$A$1:$A$49,products!$D$1:$D$49,,0)</f>
        <v>0.2</v>
      </c>
      <c r="L580" s="7">
        <f>_xlfn.XLOOKUP(D580,products!$A$1:$A$49,products!$E$1:$E$49,,0)</f>
        <v>4.4550000000000001</v>
      </c>
      <c r="M580" s="7">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IF(_xlfn.XLOOKUP(F581,customers!$B$1:$B$1001,customers!$C$1:$C$1001,,0)=0,"",_xlfn.XLOOKUP(F581,customers!$B$1:$B$1001,customers!$C$1:$C$1001,,0))</f>
        <v>tzanettig2@gravatar.com</v>
      </c>
      <c r="H581" s="2" t="str">
        <f>_xlfn.XLOOKUP(C581,customers!$A$1:$A$1001,customers!$G$1:$G$1001,,0)</f>
        <v>Ireland</v>
      </c>
      <c r="I581" t="str">
        <f>_xlfn.XLOOKUP(D581,products!$A$1:$A$49,products!$B$1:$B$49,,0)</f>
        <v>Ara</v>
      </c>
      <c r="J581" t="str">
        <f>_xlfn.XLOOKUP(D581,products!$A$1:$A$49,products!$C$1:$C$49,,0)</f>
        <v>M</v>
      </c>
      <c r="K581" s="5">
        <f>_xlfn.XLOOKUP(D581,products!$A$1:$A$49,products!$D$1:$D$49,,0)</f>
        <v>0.5</v>
      </c>
      <c r="L581" s="7">
        <f>_xlfn.XLOOKUP(D581,products!$A$1:$A$49,products!$E$1:$E$49,,0)</f>
        <v>6.75</v>
      </c>
      <c r="M581" s="7">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IF(_xlfn.XLOOKUP(F582,customers!$B$1:$B$1001,customers!$C$1:$C$1001,,0)=0,"",_xlfn.XLOOKUP(F582,customers!$B$1:$B$1001,customers!$C$1:$C$1001,,0))</f>
        <v>rkirtleyg4@hatena.ne.jp</v>
      </c>
      <c r="H582" s="2" t="str">
        <f>_xlfn.XLOOKUP(C582,customers!$A$1:$A$1001,customers!$G$1:$G$1001,,0)</f>
        <v>United States</v>
      </c>
      <c r="I582" t="str">
        <f>_xlfn.XLOOKUP(D582,products!$A$1:$A$49,products!$B$1:$B$49,,0)</f>
        <v>Exc</v>
      </c>
      <c r="J582" t="str">
        <f>_xlfn.XLOOKUP(D582,products!$A$1:$A$49,products!$C$1:$C$49,,0)</f>
        <v>L</v>
      </c>
      <c r="K582" s="5">
        <f>_xlfn.XLOOKUP(D582,products!$A$1:$A$49,products!$D$1:$D$49,,0)</f>
        <v>1</v>
      </c>
      <c r="L582" s="7">
        <f>_xlfn.XLOOKUP(D582,products!$A$1:$A$49,products!$E$1:$E$49,,0)</f>
        <v>14.85</v>
      </c>
      <c r="M582" s="7">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IF(_xlfn.XLOOKUP(F583,customers!$B$1:$B$1001,customers!$C$1:$C$1001,,0)=0,"",_xlfn.XLOOKUP(F583,customers!$B$1:$B$1001,customers!$C$1:$C$1001,,0))</f>
        <v>cclemencetg5@weather.com</v>
      </c>
      <c r="H583" s="2" t="str">
        <f>_xlfn.XLOOKUP(C583,customers!$A$1:$A$1001,customers!$G$1:$G$1001,,0)</f>
        <v>United Kingdom</v>
      </c>
      <c r="I583" t="str">
        <f>_xlfn.XLOOKUP(D583,products!$A$1:$A$49,products!$B$1:$B$49,,0)</f>
        <v>Exc</v>
      </c>
      <c r="J583" t="str">
        <f>_xlfn.XLOOKUP(D583,products!$A$1:$A$49,products!$C$1:$C$49,,0)</f>
        <v>L</v>
      </c>
      <c r="K583" s="5">
        <f>_xlfn.XLOOKUP(D583,products!$A$1:$A$49,products!$D$1:$D$49,,0)</f>
        <v>0.5</v>
      </c>
      <c r="L583" s="7">
        <f>_xlfn.XLOOKUP(D583,products!$A$1:$A$49,products!$E$1:$E$49,,0)</f>
        <v>8.91</v>
      </c>
      <c r="M583" s="7">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IF(_xlfn.XLOOKUP(F584,customers!$B$1:$B$1001,customers!$C$1:$C$1001,,0)=0,"",_xlfn.XLOOKUP(F584,customers!$B$1:$B$1001,customers!$C$1:$C$1001,,0))</f>
        <v>rdonetg6@oakley.com</v>
      </c>
      <c r="H584" s="2" t="str">
        <f>_xlfn.XLOOKUP(C584,customers!$A$1:$A$1001,customers!$G$1:$G$1001,,0)</f>
        <v>United States</v>
      </c>
      <c r="I584" t="str">
        <f>_xlfn.XLOOKUP(D584,products!$A$1:$A$49,products!$B$1:$B$49,,0)</f>
        <v>Exc</v>
      </c>
      <c r="J584" t="str">
        <f>_xlfn.XLOOKUP(D584,products!$A$1:$A$49,products!$C$1:$C$49,,0)</f>
        <v>D</v>
      </c>
      <c r="K584" s="5">
        <f>_xlfn.XLOOKUP(D584,products!$A$1:$A$49,products!$D$1:$D$49,,0)</f>
        <v>1</v>
      </c>
      <c r="L584" s="7">
        <f>_xlfn.XLOOKUP(D584,products!$A$1:$A$49,products!$E$1:$E$49,,0)</f>
        <v>12.15</v>
      </c>
      <c r="M584" s="7">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IF(_xlfn.XLOOKUP(F585,customers!$B$1:$B$1001,customers!$C$1:$C$1001,,0)=0,"",_xlfn.XLOOKUP(F585,customers!$B$1:$B$1001,customers!$C$1:$C$1001,,0))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5">
        <f>_xlfn.XLOOKUP(D585,products!$A$1:$A$49,products!$D$1:$D$49,,0)</f>
        <v>0.2</v>
      </c>
      <c r="L585" s="7">
        <f>_xlfn.XLOOKUP(D585,products!$A$1:$A$49,products!$E$1:$E$49,,0)</f>
        <v>3.5849999999999995</v>
      </c>
      <c r="M585" s="7">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IF(_xlfn.XLOOKUP(F586,customers!$B$1:$B$1001,customers!$C$1:$C$1001,,0)=0,"",_xlfn.XLOOKUP(F586,customers!$B$1:$B$1001,customers!$C$1:$C$1001,,0))</f>
        <v>rreadieg8@guardian.co.uk</v>
      </c>
      <c r="H586" s="2" t="str">
        <f>_xlfn.XLOOKUP(C586,customers!$A$1:$A$1001,customers!$G$1:$G$1001,,0)</f>
        <v>United States</v>
      </c>
      <c r="I586" t="str">
        <f>_xlfn.XLOOKUP(D586,products!$A$1:$A$49,products!$B$1:$B$49,,0)</f>
        <v>Rob</v>
      </c>
      <c r="J586" t="str">
        <f>_xlfn.XLOOKUP(D586,products!$A$1:$A$49,products!$C$1:$C$49,,0)</f>
        <v>L</v>
      </c>
      <c r="K586" s="5">
        <f>_xlfn.XLOOKUP(D586,products!$A$1:$A$49,products!$D$1:$D$49,,0)</f>
        <v>0.2</v>
      </c>
      <c r="L586" s="7">
        <f>_xlfn.XLOOKUP(D586,products!$A$1:$A$49,products!$E$1:$E$49,,0)</f>
        <v>3.5849999999999995</v>
      </c>
      <c r="M586" s="7">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IF(_xlfn.XLOOKUP(F587,customers!$B$1:$B$1001,customers!$C$1:$C$1001,,0)=0,"",_xlfn.XLOOKUP(F587,customers!$B$1:$B$1001,customers!$C$1:$C$1001,,0))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5">
        <f>_xlfn.XLOOKUP(D587,products!$A$1:$A$49,products!$D$1:$D$49,,0)</f>
        <v>0.5</v>
      </c>
      <c r="L587" s="7">
        <f>_xlfn.XLOOKUP(D587,products!$A$1:$A$49,products!$E$1:$E$49,,0)</f>
        <v>8.25</v>
      </c>
      <c r="M587" s="7">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IF(_xlfn.XLOOKUP(F588,customers!$B$1:$B$1001,customers!$C$1:$C$1001,,0)=0,"",_xlfn.XLOOKUP(F588,customers!$B$1:$B$1001,customers!$C$1:$C$1001,,0))</f>
        <v/>
      </c>
      <c r="H588" s="2" t="str">
        <f>_xlfn.XLOOKUP(C588,customers!$A$1:$A$1001,customers!$G$1:$G$1001,,0)</f>
        <v>United States</v>
      </c>
      <c r="I588" t="str">
        <f>_xlfn.XLOOKUP(D588,products!$A$1:$A$49,products!$B$1:$B$49,,0)</f>
        <v>Rob</v>
      </c>
      <c r="J588" t="str">
        <f>_xlfn.XLOOKUP(D588,products!$A$1:$A$49,products!$C$1:$C$49,,0)</f>
        <v>L</v>
      </c>
      <c r="K588" s="5">
        <f>_xlfn.XLOOKUP(D588,products!$A$1:$A$49,products!$D$1:$D$49,,0)</f>
        <v>2.5</v>
      </c>
      <c r="L588" s="7">
        <f>_xlfn.XLOOKUP(D588,products!$A$1:$A$49,products!$E$1:$E$49,,0)</f>
        <v>27.484999999999996</v>
      </c>
      <c r="M588" s="7">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IF(_xlfn.XLOOKUP(F589,customers!$B$1:$B$1001,customers!$C$1:$C$1001,,0)=0,"",_xlfn.XLOOKUP(F589,customers!$B$1:$B$1001,customers!$C$1:$C$1001,,0))</f>
        <v>bogb@elpais.com</v>
      </c>
      <c r="H589" s="2" t="str">
        <f>_xlfn.XLOOKUP(C589,customers!$A$1:$A$1001,customers!$G$1:$G$1001,,0)</f>
        <v>United States</v>
      </c>
      <c r="I589" t="str">
        <f>_xlfn.XLOOKUP(D589,products!$A$1:$A$49,products!$B$1:$B$49,,0)</f>
        <v>Lib</v>
      </c>
      <c r="J589" t="str">
        <f>_xlfn.XLOOKUP(D589,products!$A$1:$A$49,products!$C$1:$C$49,,0)</f>
        <v>D</v>
      </c>
      <c r="K589" s="5">
        <f>_xlfn.XLOOKUP(D589,products!$A$1:$A$49,products!$D$1:$D$49,,0)</f>
        <v>0.5</v>
      </c>
      <c r="L589" s="7">
        <f>_xlfn.XLOOKUP(D589,products!$A$1:$A$49,products!$E$1:$E$49,,0)</f>
        <v>7.77</v>
      </c>
      <c r="M589" s="7">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IF(_xlfn.XLOOKUP(F590,customers!$B$1:$B$1001,customers!$C$1:$C$1001,,0)=0,"",_xlfn.XLOOKUP(F590,customers!$B$1:$B$1001,customers!$C$1:$C$1001,,0))</f>
        <v>vstansburygc@unblog.fr</v>
      </c>
      <c r="H590" s="2" t="str">
        <f>_xlfn.XLOOKUP(C590,customers!$A$1:$A$1001,customers!$G$1:$G$1001,,0)</f>
        <v>United States</v>
      </c>
      <c r="I590" t="str">
        <f>_xlfn.XLOOKUP(D590,products!$A$1:$A$49,products!$B$1:$B$49,,0)</f>
        <v>Rob</v>
      </c>
      <c r="J590" t="str">
        <f>_xlfn.XLOOKUP(D590,products!$A$1:$A$49,products!$C$1:$C$49,,0)</f>
        <v>M</v>
      </c>
      <c r="K590" s="5">
        <f>_xlfn.XLOOKUP(D590,products!$A$1:$A$49,products!$D$1:$D$49,,0)</f>
        <v>0.5</v>
      </c>
      <c r="L590" s="7">
        <f>_xlfn.XLOOKUP(D590,products!$A$1:$A$49,products!$E$1:$E$49,,0)</f>
        <v>5.97</v>
      </c>
      <c r="M590" s="7">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IF(_xlfn.XLOOKUP(F591,customers!$B$1:$B$1001,customers!$C$1:$C$1001,,0)=0,"",_xlfn.XLOOKUP(F591,customers!$B$1:$B$1001,customers!$C$1:$C$1001,,0))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5">
        <f>_xlfn.XLOOKUP(D591,products!$A$1:$A$49,products!$D$1:$D$49,,0)</f>
        <v>2.5</v>
      </c>
      <c r="L591" s="7">
        <f>_xlfn.XLOOKUP(D591,products!$A$1:$A$49,products!$E$1:$E$49,,0)</f>
        <v>34.154999999999994</v>
      </c>
      <c r="M591" s="7">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IF(_xlfn.XLOOKUP(F592,customers!$B$1:$B$1001,customers!$C$1:$C$1001,,0)=0,"",_xlfn.XLOOKUP(F592,customers!$B$1:$B$1001,customers!$C$1:$C$1001,,0))</f>
        <v>jshentonge@google.com.hk</v>
      </c>
      <c r="H592" s="2" t="str">
        <f>_xlfn.XLOOKUP(C592,customers!$A$1:$A$1001,customers!$G$1:$G$1001,,0)</f>
        <v>United States</v>
      </c>
      <c r="I592" t="str">
        <f>_xlfn.XLOOKUP(D592,products!$A$1:$A$49,products!$B$1:$B$49,,0)</f>
        <v>Exc</v>
      </c>
      <c r="J592" t="str">
        <f>_xlfn.XLOOKUP(D592,products!$A$1:$A$49,products!$C$1:$C$49,,0)</f>
        <v>M</v>
      </c>
      <c r="K592" s="5">
        <f>_xlfn.XLOOKUP(D592,products!$A$1:$A$49,products!$D$1:$D$49,,0)</f>
        <v>2.5</v>
      </c>
      <c r="L592" s="7">
        <f>_xlfn.XLOOKUP(D592,products!$A$1:$A$49,products!$E$1:$E$49,,0)</f>
        <v>31.624999999999996</v>
      </c>
      <c r="M592" s="7">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IF(_xlfn.XLOOKUP(F593,customers!$B$1:$B$1001,customers!$C$1:$C$1001,,0)=0,"",_xlfn.XLOOKUP(F593,customers!$B$1:$B$1001,customers!$C$1:$C$1001,,0))</f>
        <v>jwilkissongf@nba.com</v>
      </c>
      <c r="H593" s="2" t="str">
        <f>_xlfn.XLOOKUP(C593,customers!$A$1:$A$1001,customers!$G$1:$G$1001,,0)</f>
        <v>United States</v>
      </c>
      <c r="I593" t="str">
        <f>_xlfn.XLOOKUP(D593,products!$A$1:$A$49,products!$B$1:$B$49,,0)</f>
        <v>Rob</v>
      </c>
      <c r="J593" t="str">
        <f>_xlfn.XLOOKUP(D593,products!$A$1:$A$49,products!$C$1:$C$49,,0)</f>
        <v>D</v>
      </c>
      <c r="K593" s="5">
        <f>_xlfn.XLOOKUP(D593,products!$A$1:$A$49,products!$D$1:$D$49,,0)</f>
        <v>0.2</v>
      </c>
      <c r="L593" s="7">
        <f>_xlfn.XLOOKUP(D593,products!$A$1:$A$49,products!$E$1:$E$49,,0)</f>
        <v>2.6849999999999996</v>
      </c>
      <c r="M593" s="7">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IF(_xlfn.XLOOKUP(F594,customers!$B$1:$B$1001,customers!$C$1:$C$1001,,0)=0,"",_xlfn.XLOOKUP(F594,customers!$B$1:$B$1001,customers!$C$1:$C$1001,,0))</f>
        <v/>
      </c>
      <c r="H594" s="2" t="str">
        <f>_xlfn.XLOOKUP(C594,customers!$A$1:$A$1001,customers!$G$1:$G$1001,,0)</f>
        <v>United States</v>
      </c>
      <c r="I594" t="str">
        <f>_xlfn.XLOOKUP(D594,products!$A$1:$A$49,products!$B$1:$B$49,,0)</f>
        <v>Ara</v>
      </c>
      <c r="J594" t="str">
        <f>_xlfn.XLOOKUP(D594,products!$A$1:$A$49,products!$C$1:$C$49,,0)</f>
        <v>M</v>
      </c>
      <c r="K594" s="5">
        <f>_xlfn.XLOOKUP(D594,products!$A$1:$A$49,products!$D$1:$D$49,,0)</f>
        <v>2.5</v>
      </c>
      <c r="L594" s="7">
        <f>_xlfn.XLOOKUP(D594,products!$A$1:$A$49,products!$E$1:$E$49,,0)</f>
        <v>25.874999999999996</v>
      </c>
      <c r="M594" s="7">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IF(_xlfn.XLOOKUP(F595,customers!$B$1:$B$1001,customers!$C$1:$C$1001,,0)=0,"",_xlfn.XLOOKUP(F595,customers!$B$1:$B$1001,customers!$C$1:$C$1001,,0))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5">
        <f>_xlfn.XLOOKUP(D595,products!$A$1:$A$49,products!$D$1:$D$49,,0)</f>
        <v>2.5</v>
      </c>
      <c r="L595" s="7">
        <f>_xlfn.XLOOKUP(D595,products!$A$1:$A$49,products!$E$1:$E$49,,0)</f>
        <v>27.945</v>
      </c>
      <c r="M595" s="7">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IF(_xlfn.XLOOKUP(F596,customers!$B$1:$B$1001,customers!$C$1:$C$1001,,0)=0,"",_xlfn.XLOOKUP(F596,customers!$B$1:$B$1001,customers!$C$1:$C$1001,,0))</f>
        <v>gstarcksgi@abc.net.au</v>
      </c>
      <c r="H596" s="2" t="str">
        <f>_xlfn.XLOOKUP(C596,customers!$A$1:$A$1001,customers!$G$1:$G$1001,,0)</f>
        <v>United States</v>
      </c>
      <c r="I596" t="str">
        <f>_xlfn.XLOOKUP(D596,products!$A$1:$A$49,products!$B$1:$B$49,,0)</f>
        <v>Ara</v>
      </c>
      <c r="J596" t="str">
        <f>_xlfn.XLOOKUP(D596,products!$A$1:$A$49,products!$C$1:$C$49,,0)</f>
        <v>L</v>
      </c>
      <c r="K596" s="5">
        <f>_xlfn.XLOOKUP(D596,products!$A$1:$A$49,products!$D$1:$D$49,,0)</f>
        <v>2.5</v>
      </c>
      <c r="L596" s="7">
        <f>_xlfn.XLOOKUP(D596,products!$A$1:$A$49,products!$E$1:$E$49,,0)</f>
        <v>29.784999999999997</v>
      </c>
      <c r="M596" s="7">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IF(_xlfn.XLOOKUP(F597,customers!$B$1:$B$1001,customers!$C$1:$C$1001,,0)=0,"",_xlfn.XLOOKUP(F597,customers!$B$1:$B$1001,customers!$C$1:$C$1001,,0))</f>
        <v/>
      </c>
      <c r="H597" s="2" t="str">
        <f>_xlfn.XLOOKUP(C597,customers!$A$1:$A$1001,customers!$G$1:$G$1001,,0)</f>
        <v>United Kingdom</v>
      </c>
      <c r="I597" t="str">
        <f>_xlfn.XLOOKUP(D597,products!$A$1:$A$49,products!$B$1:$B$49,,0)</f>
        <v>Exc</v>
      </c>
      <c r="J597" t="str">
        <f>_xlfn.XLOOKUP(D597,products!$A$1:$A$49,products!$C$1:$C$49,,0)</f>
        <v>L</v>
      </c>
      <c r="K597" s="5">
        <f>_xlfn.XLOOKUP(D597,products!$A$1:$A$49,products!$D$1:$D$49,,0)</f>
        <v>1</v>
      </c>
      <c r="L597" s="7">
        <f>_xlfn.XLOOKUP(D597,products!$A$1:$A$49,products!$E$1:$E$49,,0)</f>
        <v>14.85</v>
      </c>
      <c r="M597" s="7">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IF(_xlfn.XLOOKUP(F598,customers!$B$1:$B$1001,customers!$C$1:$C$1001,,0)=0,"",_xlfn.XLOOKUP(F598,customers!$B$1:$B$1001,customers!$C$1:$C$1001,,0))</f>
        <v>kscholardgk@sbwire.com</v>
      </c>
      <c r="H598" s="2" t="str">
        <f>_xlfn.XLOOKUP(C598,customers!$A$1:$A$1001,customers!$G$1:$G$1001,,0)</f>
        <v>United States</v>
      </c>
      <c r="I598" t="str">
        <f>_xlfn.XLOOKUP(D598,products!$A$1:$A$49,products!$B$1:$B$49,,0)</f>
        <v>Ara</v>
      </c>
      <c r="J598" t="str">
        <f>_xlfn.XLOOKUP(D598,products!$A$1:$A$49,products!$C$1:$C$49,,0)</f>
        <v>M</v>
      </c>
      <c r="K598" s="5">
        <f>_xlfn.XLOOKUP(D598,products!$A$1:$A$49,products!$D$1:$D$49,,0)</f>
        <v>0.5</v>
      </c>
      <c r="L598" s="7">
        <f>_xlfn.XLOOKUP(D598,products!$A$1:$A$49,products!$E$1:$E$49,,0)</f>
        <v>6.75</v>
      </c>
      <c r="M598" s="7">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IF(_xlfn.XLOOKUP(F599,customers!$B$1:$B$1001,customers!$C$1:$C$1001,,0)=0,"",_xlfn.XLOOKUP(F599,customers!$B$1:$B$1001,customers!$C$1:$C$1001,,0))</f>
        <v>bkindleygl@wikimedia.org</v>
      </c>
      <c r="H599" s="2" t="str">
        <f>_xlfn.XLOOKUP(C599,customers!$A$1:$A$1001,customers!$G$1:$G$1001,,0)</f>
        <v>United States</v>
      </c>
      <c r="I599" t="str">
        <f>_xlfn.XLOOKUP(D599,products!$A$1:$A$49,products!$B$1:$B$49,,0)</f>
        <v>Lib</v>
      </c>
      <c r="J599" t="str">
        <f>_xlfn.XLOOKUP(D599,products!$A$1:$A$49,products!$C$1:$C$49,,0)</f>
        <v>L</v>
      </c>
      <c r="K599" s="5">
        <f>_xlfn.XLOOKUP(D599,products!$A$1:$A$49,products!$D$1:$D$49,,0)</f>
        <v>2.5</v>
      </c>
      <c r="L599" s="7">
        <f>_xlfn.XLOOKUP(D599,products!$A$1:$A$49,products!$E$1:$E$49,,0)</f>
        <v>36.454999999999998</v>
      </c>
      <c r="M599" s="7">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IF(_xlfn.XLOOKUP(F600,customers!$B$1:$B$1001,customers!$C$1:$C$1001,,0)=0,"",_xlfn.XLOOKUP(F600,customers!$B$1:$B$1001,customers!$C$1:$C$1001,,0))</f>
        <v>khammettgm@dmoz.org</v>
      </c>
      <c r="H600" s="2" t="str">
        <f>_xlfn.XLOOKUP(C600,customers!$A$1:$A$1001,customers!$G$1:$G$1001,,0)</f>
        <v>United States</v>
      </c>
      <c r="I600" t="str">
        <f>_xlfn.XLOOKUP(D600,products!$A$1:$A$49,products!$B$1:$B$49,,0)</f>
        <v>Rob</v>
      </c>
      <c r="J600" t="str">
        <f>_xlfn.XLOOKUP(D600,products!$A$1:$A$49,products!$C$1:$C$49,,0)</f>
        <v>M</v>
      </c>
      <c r="K600" s="5">
        <f>_xlfn.XLOOKUP(D600,products!$A$1:$A$49,products!$D$1:$D$49,,0)</f>
        <v>0.2</v>
      </c>
      <c r="L600" s="7">
        <f>_xlfn.XLOOKUP(D600,products!$A$1:$A$49,products!$E$1:$E$49,,0)</f>
        <v>2.9849999999999999</v>
      </c>
      <c r="M600" s="7">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IF(_xlfn.XLOOKUP(F601,customers!$B$1:$B$1001,customers!$C$1:$C$1001,,0)=0,"",_xlfn.XLOOKUP(F601,customers!$B$1:$B$1001,customers!$C$1:$C$1001,,0))</f>
        <v>ahulburtgn@fda.gov</v>
      </c>
      <c r="H601" s="2" t="str">
        <f>_xlfn.XLOOKUP(C601,customers!$A$1:$A$1001,customers!$G$1:$G$1001,,0)</f>
        <v>United States</v>
      </c>
      <c r="I601" t="str">
        <f>_xlfn.XLOOKUP(D601,products!$A$1:$A$49,products!$B$1:$B$49,,0)</f>
        <v>Ara</v>
      </c>
      <c r="J601" t="str">
        <f>_xlfn.XLOOKUP(D601,products!$A$1:$A$49,products!$C$1:$C$49,,0)</f>
        <v>D</v>
      </c>
      <c r="K601" s="5">
        <f>_xlfn.XLOOKUP(D601,products!$A$1:$A$49,products!$D$1:$D$49,,0)</f>
        <v>0.2</v>
      </c>
      <c r="L601" s="7">
        <f>_xlfn.XLOOKUP(D601,products!$A$1:$A$49,products!$E$1:$E$49,,0)</f>
        <v>2.9849999999999999</v>
      </c>
      <c r="M601" s="7">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IF(_xlfn.XLOOKUP(F602,customers!$B$1:$B$1001,customers!$C$1:$C$1001,,0)=0,"",_xlfn.XLOOKUP(F602,customers!$B$1:$B$1001,customers!$C$1:$C$1001,,0))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5">
        <f>_xlfn.XLOOKUP(D602,products!$A$1:$A$49,products!$D$1:$D$49,,0)</f>
        <v>0.5</v>
      </c>
      <c r="L602" s="7">
        <f>_xlfn.XLOOKUP(D602,products!$A$1:$A$49,products!$E$1:$E$49,,0)</f>
        <v>7.77</v>
      </c>
      <c r="M602" s="7">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IF(_xlfn.XLOOKUP(F603,customers!$B$1:$B$1001,customers!$C$1:$C$1001,,0)=0,"",_xlfn.XLOOKUP(F603,customers!$B$1:$B$1001,customers!$C$1:$C$1001,,0))</f>
        <v>aburgwingp@redcross.org</v>
      </c>
      <c r="H603" s="2" t="str">
        <f>_xlfn.XLOOKUP(C603,customers!$A$1:$A$1001,customers!$G$1:$G$1001,,0)</f>
        <v>United States</v>
      </c>
      <c r="I603" t="str">
        <f>_xlfn.XLOOKUP(D603,products!$A$1:$A$49,products!$B$1:$B$49,,0)</f>
        <v>Rob</v>
      </c>
      <c r="J603" t="str">
        <f>_xlfn.XLOOKUP(D603,products!$A$1:$A$49,products!$C$1:$C$49,,0)</f>
        <v>L</v>
      </c>
      <c r="K603" s="5">
        <f>_xlfn.XLOOKUP(D603,products!$A$1:$A$49,products!$D$1:$D$49,,0)</f>
        <v>2.5</v>
      </c>
      <c r="L603" s="7">
        <f>_xlfn.XLOOKUP(D603,products!$A$1:$A$49,products!$E$1:$E$49,,0)</f>
        <v>27.484999999999996</v>
      </c>
      <c r="M603" s="7">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IF(_xlfn.XLOOKUP(F604,customers!$B$1:$B$1001,customers!$C$1:$C$1001,,0)=0,"",_xlfn.XLOOKUP(F604,customers!$B$1:$B$1001,customers!$C$1:$C$1001,,0))</f>
        <v>erolingq@google.fr</v>
      </c>
      <c r="H604" s="2" t="str">
        <f>_xlfn.XLOOKUP(C604,customers!$A$1:$A$1001,customers!$G$1:$G$1001,,0)</f>
        <v>United States</v>
      </c>
      <c r="I604" t="str">
        <f>_xlfn.XLOOKUP(D604,products!$A$1:$A$49,products!$B$1:$B$49,,0)</f>
        <v>Exc</v>
      </c>
      <c r="J604" t="str">
        <f>_xlfn.XLOOKUP(D604,products!$A$1:$A$49,products!$C$1:$C$49,,0)</f>
        <v>L</v>
      </c>
      <c r="K604" s="5">
        <f>_xlfn.XLOOKUP(D604,products!$A$1:$A$49,products!$D$1:$D$49,,0)</f>
        <v>0.2</v>
      </c>
      <c r="L604" s="7">
        <f>_xlfn.XLOOKUP(D604,products!$A$1:$A$49,products!$E$1:$E$49,,0)</f>
        <v>4.4550000000000001</v>
      </c>
      <c r="M604" s="7">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IF(_xlfn.XLOOKUP(F605,customers!$B$1:$B$1001,customers!$C$1:$C$1001,,0)=0,"",_xlfn.XLOOKUP(F605,customers!$B$1:$B$1001,customers!$C$1:$C$1001,,0))</f>
        <v>dfowlegr@epa.gov</v>
      </c>
      <c r="H605" s="2" t="str">
        <f>_xlfn.XLOOKUP(C605,customers!$A$1:$A$1001,customers!$G$1:$G$1001,,0)</f>
        <v>United States</v>
      </c>
      <c r="I605" t="str">
        <f>_xlfn.XLOOKUP(D605,products!$A$1:$A$49,products!$B$1:$B$49,,0)</f>
        <v>Rob</v>
      </c>
      <c r="J605" t="str">
        <f>_xlfn.XLOOKUP(D605,products!$A$1:$A$49,products!$C$1:$C$49,,0)</f>
        <v>M</v>
      </c>
      <c r="K605" s="5">
        <f>_xlfn.XLOOKUP(D605,products!$A$1:$A$49,products!$D$1:$D$49,,0)</f>
        <v>0.2</v>
      </c>
      <c r="L605" s="7">
        <f>_xlfn.XLOOKUP(D605,products!$A$1:$A$49,products!$E$1:$E$49,,0)</f>
        <v>2.9849999999999999</v>
      </c>
      <c r="M605" s="7">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IF(_xlfn.XLOOKUP(F606,customers!$B$1:$B$1001,customers!$C$1:$C$1001,,0)=0,"",_xlfn.XLOOKUP(F606,customers!$B$1:$B$1001,customers!$C$1:$C$1001,,0))</f>
        <v/>
      </c>
      <c r="H606" s="2" t="str">
        <f>_xlfn.XLOOKUP(C606,customers!$A$1:$A$1001,customers!$G$1:$G$1001,,0)</f>
        <v>Ireland</v>
      </c>
      <c r="I606" t="str">
        <f>_xlfn.XLOOKUP(D606,products!$A$1:$A$49,products!$B$1:$B$49,,0)</f>
        <v>Lib</v>
      </c>
      <c r="J606" t="str">
        <f>_xlfn.XLOOKUP(D606,products!$A$1:$A$49,products!$C$1:$C$49,,0)</f>
        <v>D</v>
      </c>
      <c r="K606" s="5">
        <f>_xlfn.XLOOKUP(D606,products!$A$1:$A$49,products!$D$1:$D$49,,0)</f>
        <v>2.5</v>
      </c>
      <c r="L606" s="7">
        <f>_xlfn.XLOOKUP(D606,products!$A$1:$A$49,products!$E$1:$E$49,,0)</f>
        <v>29.784999999999997</v>
      </c>
      <c r="M606" s="7">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IF(_xlfn.XLOOKUP(F607,customers!$B$1:$B$1001,customers!$C$1:$C$1001,,0)=0,"",_xlfn.XLOOKUP(F607,customers!$B$1:$B$1001,customers!$C$1:$C$1001,,0))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5">
        <f>_xlfn.XLOOKUP(D607,products!$A$1:$A$49,products!$D$1:$D$49,,0)</f>
        <v>2.5</v>
      </c>
      <c r="L607" s="7">
        <f>_xlfn.XLOOKUP(D607,products!$A$1:$A$49,products!$E$1:$E$49,,0)</f>
        <v>29.784999999999997</v>
      </c>
      <c r="M607" s="7">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IF(_xlfn.XLOOKUP(F608,customers!$B$1:$B$1001,customers!$C$1:$C$1001,,0)=0,"",_xlfn.XLOOKUP(F608,customers!$B$1:$B$1001,customers!$C$1:$C$1001,,0))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5">
        <f>_xlfn.XLOOKUP(D608,products!$A$1:$A$49,products!$D$1:$D$49,,0)</f>
        <v>2.5</v>
      </c>
      <c r="L608" s="7">
        <f>_xlfn.XLOOKUP(D608,products!$A$1:$A$49,products!$E$1:$E$49,,0)</f>
        <v>36.454999999999998</v>
      </c>
      <c r="M608" s="7">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IF(_xlfn.XLOOKUP(F609,customers!$B$1:$B$1001,customers!$C$1:$C$1001,,0)=0,"",_xlfn.XLOOKUP(F609,customers!$B$1:$B$1001,customers!$C$1:$C$1001,,0))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5">
        <f>_xlfn.XLOOKUP(D609,products!$A$1:$A$49,products!$D$1:$D$49,,0)</f>
        <v>0.2</v>
      </c>
      <c r="L609" s="7">
        <f>_xlfn.XLOOKUP(D609,products!$A$1:$A$49,products!$E$1:$E$49,,0)</f>
        <v>3.645</v>
      </c>
      <c r="M609" s="7">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IF(_xlfn.XLOOKUP(F610,customers!$B$1:$B$1001,customers!$C$1:$C$1001,,0)=0,"",_xlfn.XLOOKUP(F610,customers!$B$1:$B$1001,customers!$C$1:$C$1001,,0))</f>
        <v/>
      </c>
      <c r="H610" s="2" t="str">
        <f>_xlfn.XLOOKUP(C610,customers!$A$1:$A$1001,customers!$G$1:$G$1001,,0)</f>
        <v>United States</v>
      </c>
      <c r="I610" t="str">
        <f>_xlfn.XLOOKUP(D610,products!$A$1:$A$49,products!$B$1:$B$49,,0)</f>
        <v>Exc</v>
      </c>
      <c r="J610" t="str">
        <f>_xlfn.XLOOKUP(D610,products!$A$1:$A$49,products!$C$1:$C$49,,0)</f>
        <v>D</v>
      </c>
      <c r="K610" s="5">
        <f>_xlfn.XLOOKUP(D610,products!$A$1:$A$49,products!$D$1:$D$49,,0)</f>
        <v>2.5</v>
      </c>
      <c r="L610" s="7">
        <f>_xlfn.XLOOKUP(D610,products!$A$1:$A$49,products!$E$1:$E$49,,0)</f>
        <v>27.945</v>
      </c>
      <c r="M610" s="7">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IF(_xlfn.XLOOKUP(F611,customers!$B$1:$B$1001,customers!$C$1:$C$1001,,0)=0,"",_xlfn.XLOOKUP(F611,customers!$B$1:$B$1001,customers!$C$1:$C$1001,,0))</f>
        <v>afendtgx@forbes.com</v>
      </c>
      <c r="H611" s="2" t="str">
        <f>_xlfn.XLOOKUP(C611,customers!$A$1:$A$1001,customers!$G$1:$G$1001,,0)</f>
        <v>United States</v>
      </c>
      <c r="I611" t="str">
        <f>_xlfn.XLOOKUP(D611,products!$A$1:$A$49,products!$B$1:$B$49,,0)</f>
        <v>Lib</v>
      </c>
      <c r="J611" t="str">
        <f>_xlfn.XLOOKUP(D611,products!$A$1:$A$49,products!$C$1:$C$49,,0)</f>
        <v>M</v>
      </c>
      <c r="K611" s="5">
        <f>_xlfn.XLOOKUP(D611,products!$A$1:$A$49,products!$D$1:$D$49,,0)</f>
        <v>0.2</v>
      </c>
      <c r="L611" s="7">
        <f>_xlfn.XLOOKUP(D611,products!$A$1:$A$49,products!$E$1:$E$49,,0)</f>
        <v>4.3650000000000002</v>
      </c>
      <c r="M611" s="7">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IF(_xlfn.XLOOKUP(F612,customers!$B$1:$B$1001,customers!$C$1:$C$1001,,0)=0,"",_xlfn.XLOOKUP(F612,customers!$B$1:$B$1001,customers!$C$1:$C$1001,,0))</f>
        <v>acleyburngy@lycos.com</v>
      </c>
      <c r="H612" s="2" t="str">
        <f>_xlfn.XLOOKUP(C612,customers!$A$1:$A$1001,customers!$G$1:$G$1001,,0)</f>
        <v>United States</v>
      </c>
      <c r="I612" t="str">
        <f>_xlfn.XLOOKUP(D612,products!$A$1:$A$49,products!$B$1:$B$49,,0)</f>
        <v>Rob</v>
      </c>
      <c r="J612" t="str">
        <f>_xlfn.XLOOKUP(D612,products!$A$1:$A$49,products!$C$1:$C$49,,0)</f>
        <v>M</v>
      </c>
      <c r="K612" s="5">
        <f>_xlfn.XLOOKUP(D612,products!$A$1:$A$49,products!$D$1:$D$49,,0)</f>
        <v>1</v>
      </c>
      <c r="L612" s="7">
        <f>_xlfn.XLOOKUP(D612,products!$A$1:$A$49,products!$E$1:$E$49,,0)</f>
        <v>9.9499999999999993</v>
      </c>
      <c r="M612" s="7">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IF(_xlfn.XLOOKUP(F613,customers!$B$1:$B$1001,customers!$C$1:$C$1001,,0)=0,"",_xlfn.XLOOKUP(F613,customers!$B$1:$B$1001,customers!$C$1:$C$1001,,0))</f>
        <v>tcastiglionegz@xing.com</v>
      </c>
      <c r="H613" s="2" t="str">
        <f>_xlfn.XLOOKUP(C613,customers!$A$1:$A$1001,customers!$G$1:$G$1001,,0)</f>
        <v>United States</v>
      </c>
      <c r="I613" t="str">
        <f>_xlfn.XLOOKUP(D613,products!$A$1:$A$49,products!$B$1:$B$49,,0)</f>
        <v>Exc</v>
      </c>
      <c r="J613" t="str">
        <f>_xlfn.XLOOKUP(D613,products!$A$1:$A$49,products!$C$1:$C$49,,0)</f>
        <v>L</v>
      </c>
      <c r="K613" s="5">
        <f>_xlfn.XLOOKUP(D613,products!$A$1:$A$49,products!$D$1:$D$49,,0)</f>
        <v>2.5</v>
      </c>
      <c r="L613" s="7">
        <f>_xlfn.XLOOKUP(D613,products!$A$1:$A$49,products!$E$1:$E$49,,0)</f>
        <v>34.154999999999994</v>
      </c>
      <c r="M613" s="7">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IF(_xlfn.XLOOKUP(F614,customers!$B$1:$B$1001,customers!$C$1:$C$1001,,0)=0,"",_xlfn.XLOOKUP(F614,customers!$B$1:$B$1001,customers!$C$1:$C$1001,,0))</f>
        <v/>
      </c>
      <c r="H614" s="2" t="str">
        <f>_xlfn.XLOOKUP(C614,customers!$A$1:$A$1001,customers!$G$1:$G$1001,,0)</f>
        <v>Ireland</v>
      </c>
      <c r="I614" t="str">
        <f>_xlfn.XLOOKUP(D614,products!$A$1:$A$49,products!$B$1:$B$49,,0)</f>
        <v>Ara</v>
      </c>
      <c r="J614" t="str">
        <f>_xlfn.XLOOKUP(D614,products!$A$1:$A$49,products!$C$1:$C$49,,0)</f>
        <v>M</v>
      </c>
      <c r="K614" s="5">
        <f>_xlfn.XLOOKUP(D614,products!$A$1:$A$49,products!$D$1:$D$49,,0)</f>
        <v>0.2</v>
      </c>
      <c r="L614" s="7">
        <f>_xlfn.XLOOKUP(D614,products!$A$1:$A$49,products!$E$1:$E$49,,0)</f>
        <v>3.375</v>
      </c>
      <c r="M614" s="7">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IF(_xlfn.XLOOKUP(F615,customers!$B$1:$B$1001,customers!$C$1:$C$1001,,0)=0,"",_xlfn.XLOOKUP(F615,customers!$B$1:$B$1001,customers!$C$1:$C$1001,,0))</f>
        <v/>
      </c>
      <c r="H615" s="2" t="str">
        <f>_xlfn.XLOOKUP(C615,customers!$A$1:$A$1001,customers!$G$1:$G$1001,,0)</f>
        <v>United States</v>
      </c>
      <c r="I615" t="str">
        <f>_xlfn.XLOOKUP(D615,products!$A$1:$A$49,products!$B$1:$B$49,,0)</f>
        <v>Rob</v>
      </c>
      <c r="J615" t="str">
        <f>_xlfn.XLOOKUP(D615,products!$A$1:$A$49,products!$C$1:$C$49,,0)</f>
        <v>M</v>
      </c>
      <c r="K615" s="5">
        <f>_xlfn.XLOOKUP(D615,products!$A$1:$A$49,products!$D$1:$D$49,,0)</f>
        <v>0.5</v>
      </c>
      <c r="L615" s="7">
        <f>_xlfn.XLOOKUP(D615,products!$A$1:$A$49,products!$E$1:$E$49,,0)</f>
        <v>5.97</v>
      </c>
      <c r="M615" s="7">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IF(_xlfn.XLOOKUP(F616,customers!$B$1:$B$1001,customers!$C$1:$C$1001,,0)=0,"",_xlfn.XLOOKUP(F616,customers!$B$1:$B$1001,customers!$C$1:$C$1001,,0))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5">
        <f>_xlfn.XLOOKUP(D616,products!$A$1:$A$49,products!$D$1:$D$49,,0)</f>
        <v>0.5</v>
      </c>
      <c r="L616" s="7">
        <f>_xlfn.XLOOKUP(D616,products!$A$1:$A$49,products!$E$1:$E$49,,0)</f>
        <v>5.97</v>
      </c>
      <c r="M616" s="7">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IF(_xlfn.XLOOKUP(F617,customers!$B$1:$B$1001,customers!$C$1:$C$1001,,0)=0,"",_xlfn.XLOOKUP(F617,customers!$B$1:$B$1001,customers!$C$1:$C$1001,,0))</f>
        <v>scouronneh3@mozilla.org</v>
      </c>
      <c r="H617" s="2" t="str">
        <f>_xlfn.XLOOKUP(C617,customers!$A$1:$A$1001,customers!$G$1:$G$1001,,0)</f>
        <v>United States</v>
      </c>
      <c r="I617" t="str">
        <f>_xlfn.XLOOKUP(D617,products!$A$1:$A$49,products!$B$1:$B$49,,0)</f>
        <v>Lib</v>
      </c>
      <c r="J617" t="str">
        <f>_xlfn.XLOOKUP(D617,products!$A$1:$A$49,products!$C$1:$C$49,,0)</f>
        <v>L</v>
      </c>
      <c r="K617" s="5">
        <f>_xlfn.XLOOKUP(D617,products!$A$1:$A$49,products!$D$1:$D$49,,0)</f>
        <v>2.5</v>
      </c>
      <c r="L617" s="7">
        <f>_xlfn.XLOOKUP(D617,products!$A$1:$A$49,products!$E$1:$E$49,,0)</f>
        <v>36.454999999999998</v>
      </c>
      <c r="M617" s="7">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IF(_xlfn.XLOOKUP(F618,customers!$B$1:$B$1001,customers!$C$1:$C$1001,,0)=0,"",_xlfn.XLOOKUP(F618,customers!$B$1:$B$1001,customers!$C$1:$C$1001,,0))</f>
        <v>lflippellih4@github.io</v>
      </c>
      <c r="H618" s="2" t="str">
        <f>_xlfn.XLOOKUP(C618,customers!$A$1:$A$1001,customers!$G$1:$G$1001,,0)</f>
        <v>United Kingdom</v>
      </c>
      <c r="I618" t="str">
        <f>_xlfn.XLOOKUP(D618,products!$A$1:$A$49,products!$B$1:$B$49,,0)</f>
        <v>Exc</v>
      </c>
      <c r="J618" t="str">
        <f>_xlfn.XLOOKUP(D618,products!$A$1:$A$49,products!$C$1:$C$49,,0)</f>
        <v>M</v>
      </c>
      <c r="K618" s="5">
        <f>_xlfn.XLOOKUP(D618,products!$A$1:$A$49,products!$D$1:$D$49,,0)</f>
        <v>2.5</v>
      </c>
      <c r="L618" s="7">
        <f>_xlfn.XLOOKUP(D618,products!$A$1:$A$49,products!$E$1:$E$49,,0)</f>
        <v>31.624999999999996</v>
      </c>
      <c r="M618" s="7">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IF(_xlfn.XLOOKUP(F619,customers!$B$1:$B$1001,customers!$C$1:$C$1001,,0)=0,"",_xlfn.XLOOKUP(F619,customers!$B$1:$B$1001,customers!$C$1:$C$1001,,0))</f>
        <v>relizabethh5@live.com</v>
      </c>
      <c r="H619" s="2" t="str">
        <f>_xlfn.XLOOKUP(C619,customers!$A$1:$A$1001,customers!$G$1:$G$1001,,0)</f>
        <v>United States</v>
      </c>
      <c r="I619" t="str">
        <f>_xlfn.XLOOKUP(D619,products!$A$1:$A$49,products!$B$1:$B$49,,0)</f>
        <v>Lib</v>
      </c>
      <c r="J619" t="str">
        <f>_xlfn.XLOOKUP(D619,products!$A$1:$A$49,products!$C$1:$C$49,,0)</f>
        <v>M</v>
      </c>
      <c r="K619" s="5">
        <f>_xlfn.XLOOKUP(D619,products!$A$1:$A$49,products!$D$1:$D$49,,0)</f>
        <v>2.5</v>
      </c>
      <c r="L619" s="7">
        <f>_xlfn.XLOOKUP(D619,products!$A$1:$A$49,products!$E$1:$E$49,,0)</f>
        <v>33.464999999999996</v>
      </c>
      <c r="M619" s="7">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IF(_xlfn.XLOOKUP(F620,customers!$B$1:$B$1001,customers!$C$1:$C$1001,,0)=0,"",_xlfn.XLOOKUP(F620,customers!$B$1:$B$1001,customers!$C$1:$C$1001,,0))</f>
        <v>irenhardh6@i2i.jp</v>
      </c>
      <c r="H620" s="2" t="str">
        <f>_xlfn.XLOOKUP(C620,customers!$A$1:$A$1001,customers!$G$1:$G$1001,,0)</f>
        <v>United States</v>
      </c>
      <c r="I620" t="str">
        <f>_xlfn.XLOOKUP(D620,products!$A$1:$A$49,products!$B$1:$B$49,,0)</f>
        <v>Exc</v>
      </c>
      <c r="J620" t="str">
        <f>_xlfn.XLOOKUP(D620,products!$A$1:$A$49,products!$C$1:$C$49,,0)</f>
        <v>D</v>
      </c>
      <c r="K620" s="5">
        <f>_xlfn.XLOOKUP(D620,products!$A$1:$A$49,products!$D$1:$D$49,,0)</f>
        <v>1</v>
      </c>
      <c r="L620" s="7">
        <f>_xlfn.XLOOKUP(D620,products!$A$1:$A$49,products!$E$1:$E$49,,0)</f>
        <v>12.15</v>
      </c>
      <c r="M620" s="7">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IF(_xlfn.XLOOKUP(F621,customers!$B$1:$B$1001,customers!$C$1:$C$1001,,0)=0,"",_xlfn.XLOOKUP(F621,customers!$B$1:$B$1001,customers!$C$1:$C$1001,,0))</f>
        <v>wrocheh7@xinhuanet.com</v>
      </c>
      <c r="H621" s="2" t="str">
        <f>_xlfn.XLOOKUP(C621,customers!$A$1:$A$1001,customers!$G$1:$G$1001,,0)</f>
        <v>United States</v>
      </c>
      <c r="I621" t="str">
        <f>_xlfn.XLOOKUP(D621,products!$A$1:$A$49,products!$B$1:$B$49,,0)</f>
        <v>Lib</v>
      </c>
      <c r="J621" t="str">
        <f>_xlfn.XLOOKUP(D621,products!$A$1:$A$49,products!$C$1:$C$49,,0)</f>
        <v>D</v>
      </c>
      <c r="K621" s="5">
        <f>_xlfn.XLOOKUP(D621,products!$A$1:$A$49,products!$D$1:$D$49,,0)</f>
        <v>0.5</v>
      </c>
      <c r="L621" s="7">
        <f>_xlfn.XLOOKUP(D621,products!$A$1:$A$49,products!$E$1:$E$49,,0)</f>
        <v>7.77</v>
      </c>
      <c r="M621" s="7">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IF(_xlfn.XLOOKUP(F622,customers!$B$1:$B$1001,customers!$C$1:$C$1001,,0)=0,"",_xlfn.XLOOKUP(F622,customers!$B$1:$B$1001,customers!$C$1:$C$1001,,0))</f>
        <v>lalawayhh@weather.com</v>
      </c>
      <c r="H622" s="2" t="str">
        <f>_xlfn.XLOOKUP(C622,customers!$A$1:$A$1001,customers!$G$1:$G$1001,,0)</f>
        <v>United States</v>
      </c>
      <c r="I622" t="str">
        <f>_xlfn.XLOOKUP(D622,products!$A$1:$A$49,products!$B$1:$B$49,,0)</f>
        <v>Ara</v>
      </c>
      <c r="J622" t="str">
        <f>_xlfn.XLOOKUP(D622,products!$A$1:$A$49,products!$C$1:$C$49,,0)</f>
        <v>M</v>
      </c>
      <c r="K622" s="5">
        <f>_xlfn.XLOOKUP(D622,products!$A$1:$A$49,products!$D$1:$D$49,,0)</f>
        <v>0.2</v>
      </c>
      <c r="L622" s="7">
        <f>_xlfn.XLOOKUP(D622,products!$A$1:$A$49,products!$E$1:$E$49,,0)</f>
        <v>3.375</v>
      </c>
      <c r="M622" s="7">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IF(_xlfn.XLOOKUP(F623,customers!$B$1:$B$1001,customers!$C$1:$C$1001,,0)=0,"",_xlfn.XLOOKUP(F623,customers!$B$1:$B$1001,customers!$C$1:$C$1001,,0))</f>
        <v>codgaardh9@nsw.gov.au</v>
      </c>
      <c r="H623" s="2" t="str">
        <f>_xlfn.XLOOKUP(C623,customers!$A$1:$A$1001,customers!$G$1:$G$1001,,0)</f>
        <v>United States</v>
      </c>
      <c r="I623" t="str">
        <f>_xlfn.XLOOKUP(D623,products!$A$1:$A$49,products!$B$1:$B$49,,0)</f>
        <v>Ara</v>
      </c>
      <c r="J623" t="str">
        <f>_xlfn.XLOOKUP(D623,products!$A$1:$A$49,products!$C$1:$C$49,,0)</f>
        <v>L</v>
      </c>
      <c r="K623" s="5">
        <f>_xlfn.XLOOKUP(D623,products!$A$1:$A$49,products!$D$1:$D$49,,0)</f>
        <v>1</v>
      </c>
      <c r="L623" s="7">
        <f>_xlfn.XLOOKUP(D623,products!$A$1:$A$49,products!$E$1:$E$49,,0)</f>
        <v>12.95</v>
      </c>
      <c r="M623" s="7">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IF(_xlfn.XLOOKUP(F624,customers!$B$1:$B$1001,customers!$C$1:$C$1001,,0)=0,"",_xlfn.XLOOKUP(F624,customers!$B$1:$B$1001,customers!$C$1:$C$1001,,0))</f>
        <v>bbyrdha@4shared.com</v>
      </c>
      <c r="H624" s="2" t="str">
        <f>_xlfn.XLOOKUP(C624,customers!$A$1:$A$1001,customers!$G$1:$G$1001,,0)</f>
        <v>United States</v>
      </c>
      <c r="I624" t="str">
        <f>_xlfn.XLOOKUP(D624,products!$A$1:$A$49,products!$B$1:$B$49,,0)</f>
        <v>Lib</v>
      </c>
      <c r="J624" t="str">
        <f>_xlfn.XLOOKUP(D624,products!$A$1:$A$49,products!$C$1:$C$49,,0)</f>
        <v>M</v>
      </c>
      <c r="K624" s="5">
        <f>_xlfn.XLOOKUP(D624,products!$A$1:$A$49,products!$D$1:$D$49,,0)</f>
        <v>2.5</v>
      </c>
      <c r="L624" s="7">
        <f>_xlfn.XLOOKUP(D624,products!$A$1:$A$49,products!$E$1:$E$49,,0)</f>
        <v>33.464999999999996</v>
      </c>
      <c r="M624" s="7">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IF(_xlfn.XLOOKUP(F625,customers!$B$1:$B$1001,customers!$C$1:$C$1001,,0)=0,"",_xlfn.XLOOKUP(F625,customers!$B$1:$B$1001,customers!$C$1:$C$1001,,0))</f>
        <v/>
      </c>
      <c r="H625" s="2" t="str">
        <f>_xlfn.XLOOKUP(C625,customers!$A$1:$A$1001,customers!$G$1:$G$1001,,0)</f>
        <v>United Kingdom</v>
      </c>
      <c r="I625" t="str">
        <f>_xlfn.XLOOKUP(D625,products!$A$1:$A$49,products!$B$1:$B$49,,0)</f>
        <v>Exc</v>
      </c>
      <c r="J625" t="str">
        <f>_xlfn.XLOOKUP(D625,products!$A$1:$A$49,products!$C$1:$C$49,,0)</f>
        <v>D</v>
      </c>
      <c r="K625" s="5">
        <f>_xlfn.XLOOKUP(D625,products!$A$1:$A$49,products!$D$1:$D$49,,0)</f>
        <v>1</v>
      </c>
      <c r="L625" s="7">
        <f>_xlfn.XLOOKUP(D625,products!$A$1:$A$49,products!$E$1:$E$49,,0)</f>
        <v>12.15</v>
      </c>
      <c r="M625" s="7">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IF(_xlfn.XLOOKUP(F626,customers!$B$1:$B$1001,customers!$C$1:$C$1001,,0)=0,"",_xlfn.XLOOKUP(F626,customers!$B$1:$B$1001,customers!$C$1:$C$1001,,0))</f>
        <v>dchardinhc@nhs.uk</v>
      </c>
      <c r="H626" s="2" t="str">
        <f>_xlfn.XLOOKUP(C626,customers!$A$1:$A$1001,customers!$G$1:$G$1001,,0)</f>
        <v>Ireland</v>
      </c>
      <c r="I626" t="str">
        <f>_xlfn.XLOOKUP(D626,products!$A$1:$A$49,products!$B$1:$B$49,,0)</f>
        <v>Exc</v>
      </c>
      <c r="J626" t="str">
        <f>_xlfn.XLOOKUP(D626,products!$A$1:$A$49,products!$C$1:$C$49,,0)</f>
        <v>M</v>
      </c>
      <c r="K626" s="5">
        <f>_xlfn.XLOOKUP(D626,products!$A$1:$A$49,products!$D$1:$D$49,,0)</f>
        <v>2.5</v>
      </c>
      <c r="L626" s="7">
        <f>_xlfn.XLOOKUP(D626,products!$A$1:$A$49,products!$E$1:$E$49,,0)</f>
        <v>31.624999999999996</v>
      </c>
      <c r="M626" s="7">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IF(_xlfn.XLOOKUP(F627,customers!$B$1:$B$1001,customers!$C$1:$C$1001,,0)=0,"",_xlfn.XLOOKUP(F627,customers!$B$1:$B$1001,customers!$C$1:$C$1001,,0))</f>
        <v>hradbonehd@newsvine.com</v>
      </c>
      <c r="H627" s="2" t="str">
        <f>_xlfn.XLOOKUP(C627,customers!$A$1:$A$1001,customers!$G$1:$G$1001,,0)</f>
        <v>United States</v>
      </c>
      <c r="I627" t="str">
        <f>_xlfn.XLOOKUP(D627,products!$A$1:$A$49,products!$B$1:$B$49,,0)</f>
        <v>Rob</v>
      </c>
      <c r="J627" t="str">
        <f>_xlfn.XLOOKUP(D627,products!$A$1:$A$49,products!$C$1:$C$49,,0)</f>
        <v>L</v>
      </c>
      <c r="K627" s="5">
        <f>_xlfn.XLOOKUP(D627,products!$A$1:$A$49,products!$D$1:$D$49,,0)</f>
        <v>0.5</v>
      </c>
      <c r="L627" s="7">
        <f>_xlfn.XLOOKUP(D627,products!$A$1:$A$49,products!$E$1:$E$49,,0)</f>
        <v>7.169999999999999</v>
      </c>
      <c r="M627" s="7">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IF(_xlfn.XLOOKUP(F628,customers!$B$1:$B$1001,customers!$C$1:$C$1001,,0)=0,"",_xlfn.XLOOKUP(F628,customers!$B$1:$B$1001,customers!$C$1:$C$1001,,0))</f>
        <v>wbernthhe@miitbeian.gov.cn</v>
      </c>
      <c r="H628" s="2" t="str">
        <f>_xlfn.XLOOKUP(C628,customers!$A$1:$A$1001,customers!$G$1:$G$1001,,0)</f>
        <v>United States</v>
      </c>
      <c r="I628" t="str">
        <f>_xlfn.XLOOKUP(D628,products!$A$1:$A$49,products!$B$1:$B$49,,0)</f>
        <v>Ara</v>
      </c>
      <c r="J628" t="str">
        <f>_xlfn.XLOOKUP(D628,products!$A$1:$A$49,products!$C$1:$C$49,,0)</f>
        <v>M</v>
      </c>
      <c r="K628" s="5">
        <f>_xlfn.XLOOKUP(D628,products!$A$1:$A$49,products!$D$1:$D$49,,0)</f>
        <v>2.5</v>
      </c>
      <c r="L628" s="7">
        <f>_xlfn.XLOOKUP(D628,products!$A$1:$A$49,products!$E$1:$E$49,,0)</f>
        <v>25.874999999999996</v>
      </c>
      <c r="M628" s="7">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IF(_xlfn.XLOOKUP(F629,customers!$B$1:$B$1001,customers!$C$1:$C$1001,,0)=0,"",_xlfn.XLOOKUP(F629,customers!$B$1:$B$1001,customers!$C$1:$C$1001,,0))</f>
        <v>bacarsonhf@cnn.com</v>
      </c>
      <c r="H629" s="2" t="str">
        <f>_xlfn.XLOOKUP(C629,customers!$A$1:$A$1001,customers!$G$1:$G$1001,,0)</f>
        <v>United States</v>
      </c>
      <c r="I629" t="str">
        <f>_xlfn.XLOOKUP(D629,products!$A$1:$A$49,products!$B$1:$B$49,,0)</f>
        <v>Exc</v>
      </c>
      <c r="J629" t="str">
        <f>_xlfn.XLOOKUP(D629,products!$A$1:$A$49,products!$C$1:$C$49,,0)</f>
        <v>M</v>
      </c>
      <c r="K629" s="5">
        <f>_xlfn.XLOOKUP(D629,products!$A$1:$A$49,products!$D$1:$D$49,,0)</f>
        <v>2.5</v>
      </c>
      <c r="L629" s="7">
        <f>_xlfn.XLOOKUP(D629,products!$A$1:$A$49,products!$E$1:$E$49,,0)</f>
        <v>31.624999999999996</v>
      </c>
      <c r="M629" s="7">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IF(_xlfn.XLOOKUP(F630,customers!$B$1:$B$1001,customers!$C$1:$C$1001,,0)=0,"",_xlfn.XLOOKUP(F630,customers!$B$1:$B$1001,customers!$C$1:$C$1001,,0))</f>
        <v>fbrighamhg@blog.com</v>
      </c>
      <c r="H630" s="2" t="str">
        <f>_xlfn.XLOOKUP(C630,customers!$A$1:$A$1001,customers!$G$1:$G$1001,,0)</f>
        <v>Ireland</v>
      </c>
      <c r="I630" t="str">
        <f>_xlfn.XLOOKUP(D630,products!$A$1:$A$49,products!$B$1:$B$49,,0)</f>
        <v>Exc</v>
      </c>
      <c r="J630" t="str">
        <f>_xlfn.XLOOKUP(D630,products!$A$1:$A$49,products!$C$1:$C$49,,0)</f>
        <v>L</v>
      </c>
      <c r="K630" s="5">
        <f>_xlfn.XLOOKUP(D630,products!$A$1:$A$49,products!$D$1:$D$49,,0)</f>
        <v>0.2</v>
      </c>
      <c r="L630" s="7">
        <f>_xlfn.XLOOKUP(D630,products!$A$1:$A$49,products!$E$1:$E$49,,0)</f>
        <v>4.4550000000000001</v>
      </c>
      <c r="M630" s="7">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IF(_xlfn.XLOOKUP(F631,customers!$B$1:$B$1001,customers!$C$1:$C$1001,,0)=0,"",_xlfn.XLOOKUP(F631,customers!$B$1:$B$1001,customers!$C$1:$C$1001,,0))</f>
        <v>fbrighamhg@blog.com</v>
      </c>
      <c r="H631" s="2" t="str">
        <f>_xlfn.XLOOKUP(C631,customers!$A$1:$A$1001,customers!$G$1:$G$1001,,0)</f>
        <v>Ireland</v>
      </c>
      <c r="I631" t="str">
        <f>_xlfn.XLOOKUP(D631,products!$A$1:$A$49,products!$B$1:$B$49,,0)</f>
        <v>Lib</v>
      </c>
      <c r="J631" t="str">
        <f>_xlfn.XLOOKUP(D631,products!$A$1:$A$49,products!$C$1:$C$49,,0)</f>
        <v>D</v>
      </c>
      <c r="K631" s="5">
        <f>_xlfn.XLOOKUP(D631,products!$A$1:$A$49,products!$D$1:$D$49,,0)</f>
        <v>0.5</v>
      </c>
      <c r="L631" s="7">
        <f>_xlfn.XLOOKUP(D631,products!$A$1:$A$49,products!$E$1:$E$49,,0)</f>
        <v>7.77</v>
      </c>
      <c r="M631" s="7">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IF(_xlfn.XLOOKUP(F632,customers!$B$1:$B$1001,customers!$C$1:$C$1001,,0)=0,"",_xlfn.XLOOKUP(F632,customers!$B$1:$B$1001,customers!$C$1:$C$1001,,0))</f>
        <v>fbrighamhg@blog.com</v>
      </c>
      <c r="H632" s="2" t="str">
        <f>_xlfn.XLOOKUP(C632,customers!$A$1:$A$1001,customers!$G$1:$G$1001,,0)</f>
        <v>Ireland</v>
      </c>
      <c r="I632" t="str">
        <f>_xlfn.XLOOKUP(D632,products!$A$1:$A$49,products!$B$1:$B$49,,0)</f>
        <v>Ara</v>
      </c>
      <c r="J632" t="str">
        <f>_xlfn.XLOOKUP(D632,products!$A$1:$A$49,products!$C$1:$C$49,,0)</f>
        <v>D</v>
      </c>
      <c r="K632" s="5">
        <f>_xlfn.XLOOKUP(D632,products!$A$1:$A$49,products!$D$1:$D$49,,0)</f>
        <v>0.2</v>
      </c>
      <c r="L632" s="7">
        <f>_xlfn.XLOOKUP(D632,products!$A$1:$A$49,products!$E$1:$E$49,,0)</f>
        <v>2.9849999999999999</v>
      </c>
      <c r="M632" s="7">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IF(_xlfn.XLOOKUP(F633,customers!$B$1:$B$1001,customers!$C$1:$C$1001,,0)=0,"",_xlfn.XLOOKUP(F633,customers!$B$1:$B$1001,customers!$C$1:$C$1001,,0))</f>
        <v>fbrighamhg@blog.com</v>
      </c>
      <c r="H633" s="2" t="str">
        <f>_xlfn.XLOOKUP(C633,customers!$A$1:$A$1001,customers!$G$1:$G$1001,,0)</f>
        <v>Ireland</v>
      </c>
      <c r="I633" t="str">
        <f>_xlfn.XLOOKUP(D633,products!$A$1:$A$49,products!$B$1:$B$49,,0)</f>
        <v>Rob</v>
      </c>
      <c r="J633" t="str">
        <f>_xlfn.XLOOKUP(D633,products!$A$1:$A$49,products!$C$1:$C$49,,0)</f>
        <v>D</v>
      </c>
      <c r="K633" s="5">
        <f>_xlfn.XLOOKUP(D633,products!$A$1:$A$49,products!$D$1:$D$49,,0)</f>
        <v>2.5</v>
      </c>
      <c r="L633" s="7">
        <f>_xlfn.XLOOKUP(D633,products!$A$1:$A$49,products!$E$1:$E$49,,0)</f>
        <v>20.584999999999997</v>
      </c>
      <c r="M633" s="7">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IF(_xlfn.XLOOKUP(F634,customers!$B$1:$B$1001,customers!$C$1:$C$1001,,0)=0,"",_xlfn.XLOOKUP(F634,customers!$B$1:$B$1001,customers!$C$1:$C$1001,,0))</f>
        <v>myoxenhk@google.com</v>
      </c>
      <c r="H634" s="2" t="str">
        <f>_xlfn.XLOOKUP(C634,customers!$A$1:$A$1001,customers!$G$1:$G$1001,,0)</f>
        <v>United States</v>
      </c>
      <c r="I634" t="str">
        <f>_xlfn.XLOOKUP(D634,products!$A$1:$A$49,products!$B$1:$B$49,,0)</f>
        <v>Exc</v>
      </c>
      <c r="J634" t="str">
        <f>_xlfn.XLOOKUP(D634,products!$A$1:$A$49,products!$C$1:$C$49,,0)</f>
        <v>L</v>
      </c>
      <c r="K634" s="5">
        <f>_xlfn.XLOOKUP(D634,products!$A$1:$A$49,products!$D$1:$D$49,,0)</f>
        <v>0.5</v>
      </c>
      <c r="L634" s="7">
        <f>_xlfn.XLOOKUP(D634,products!$A$1:$A$49,products!$E$1:$E$49,,0)</f>
        <v>8.91</v>
      </c>
      <c r="M634" s="7">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IF(_xlfn.XLOOKUP(F635,customers!$B$1:$B$1001,customers!$C$1:$C$1001,,0)=0,"",_xlfn.XLOOKUP(F635,customers!$B$1:$B$1001,customers!$C$1:$C$1001,,0))</f>
        <v>gmcgavinhl@histats.com</v>
      </c>
      <c r="H635" s="2" t="str">
        <f>_xlfn.XLOOKUP(C635,customers!$A$1:$A$1001,customers!$G$1:$G$1001,,0)</f>
        <v>United States</v>
      </c>
      <c r="I635" t="str">
        <f>_xlfn.XLOOKUP(D635,products!$A$1:$A$49,products!$B$1:$B$49,,0)</f>
        <v>Rob</v>
      </c>
      <c r="J635" t="str">
        <f>_xlfn.XLOOKUP(D635,products!$A$1:$A$49,products!$C$1:$C$49,,0)</f>
        <v>L</v>
      </c>
      <c r="K635" s="5">
        <f>_xlfn.XLOOKUP(D635,products!$A$1:$A$49,products!$D$1:$D$49,,0)</f>
        <v>1</v>
      </c>
      <c r="L635" s="7">
        <f>_xlfn.XLOOKUP(D635,products!$A$1:$A$49,products!$E$1:$E$49,,0)</f>
        <v>11.95</v>
      </c>
      <c r="M635" s="7">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IF(_xlfn.XLOOKUP(F636,customers!$B$1:$B$1001,customers!$C$1:$C$1001,,0)=0,"",_xlfn.XLOOKUP(F636,customers!$B$1:$B$1001,customers!$C$1:$C$1001,,0))</f>
        <v>luttermarehm@engadget.com</v>
      </c>
      <c r="H636" s="2" t="str">
        <f>_xlfn.XLOOKUP(C636,customers!$A$1:$A$1001,customers!$G$1:$G$1001,,0)</f>
        <v>United States</v>
      </c>
      <c r="I636" t="str">
        <f>_xlfn.XLOOKUP(D636,products!$A$1:$A$49,products!$B$1:$B$49,,0)</f>
        <v>Lib</v>
      </c>
      <c r="J636" t="str">
        <f>_xlfn.XLOOKUP(D636,products!$A$1:$A$49,products!$C$1:$C$49,,0)</f>
        <v>M</v>
      </c>
      <c r="K636" s="5">
        <f>_xlfn.XLOOKUP(D636,products!$A$1:$A$49,products!$D$1:$D$49,,0)</f>
        <v>1</v>
      </c>
      <c r="L636" s="7">
        <f>_xlfn.XLOOKUP(D636,products!$A$1:$A$49,products!$E$1:$E$49,,0)</f>
        <v>14.55</v>
      </c>
      <c r="M636" s="7">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IF(_xlfn.XLOOKUP(F637,customers!$B$1:$B$1001,customers!$C$1:$C$1001,,0)=0,"",_xlfn.XLOOKUP(F637,customers!$B$1:$B$1001,customers!$C$1:$C$1001,,0))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5">
        <f>_xlfn.XLOOKUP(D637,products!$A$1:$A$49,products!$D$1:$D$49,,0)</f>
        <v>0.5</v>
      </c>
      <c r="L637" s="7">
        <f>_xlfn.XLOOKUP(D637,products!$A$1:$A$49,products!$E$1:$E$49,,0)</f>
        <v>8.91</v>
      </c>
      <c r="M637" s="7">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IF(_xlfn.XLOOKUP(F638,customers!$B$1:$B$1001,customers!$C$1:$C$1001,,0)=0,"",_xlfn.XLOOKUP(F638,customers!$B$1:$B$1001,customers!$C$1:$C$1001,,0))</f>
        <v>cwinchcombeho@jiathis.com</v>
      </c>
      <c r="H638" s="2" t="str">
        <f>_xlfn.XLOOKUP(C638,customers!$A$1:$A$1001,customers!$G$1:$G$1001,,0)</f>
        <v>United States</v>
      </c>
      <c r="I638" t="str">
        <f>_xlfn.XLOOKUP(D638,products!$A$1:$A$49,products!$B$1:$B$49,,0)</f>
        <v>Lib</v>
      </c>
      <c r="J638" t="str">
        <f>_xlfn.XLOOKUP(D638,products!$A$1:$A$49,products!$C$1:$C$49,,0)</f>
        <v>L</v>
      </c>
      <c r="K638" s="5">
        <f>_xlfn.XLOOKUP(D638,products!$A$1:$A$49,products!$D$1:$D$49,,0)</f>
        <v>1</v>
      </c>
      <c r="L638" s="7">
        <f>_xlfn.XLOOKUP(D638,products!$A$1:$A$49,products!$E$1:$E$49,,0)</f>
        <v>15.85</v>
      </c>
      <c r="M638" s="7">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IF(_xlfn.XLOOKUP(F639,customers!$B$1:$B$1001,customers!$C$1:$C$1001,,0)=0,"",_xlfn.XLOOKUP(F639,customers!$B$1:$B$1001,customers!$C$1:$C$1001,,0))</f>
        <v>bpaumierhp@umn.edu</v>
      </c>
      <c r="H639" s="2" t="str">
        <f>_xlfn.XLOOKUP(C639,customers!$A$1:$A$1001,customers!$G$1:$G$1001,,0)</f>
        <v>Ireland</v>
      </c>
      <c r="I639" t="str">
        <f>_xlfn.XLOOKUP(D639,products!$A$1:$A$49,products!$B$1:$B$49,,0)</f>
        <v>Exc</v>
      </c>
      <c r="J639" t="str">
        <f>_xlfn.XLOOKUP(D639,products!$A$1:$A$49,products!$C$1:$C$49,,0)</f>
        <v>M</v>
      </c>
      <c r="K639" s="5">
        <f>_xlfn.XLOOKUP(D639,products!$A$1:$A$49,products!$D$1:$D$49,,0)</f>
        <v>2.5</v>
      </c>
      <c r="L639" s="7">
        <f>_xlfn.XLOOKUP(D639,products!$A$1:$A$49,products!$E$1:$E$49,,0)</f>
        <v>31.624999999999996</v>
      </c>
      <c r="M639" s="7">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IF(_xlfn.XLOOKUP(F640,customers!$B$1:$B$1001,customers!$C$1:$C$1001,,0)=0,"",_xlfn.XLOOKUP(F640,customers!$B$1:$B$1001,customers!$C$1:$C$1001,,0))</f>
        <v/>
      </c>
      <c r="H640" s="2" t="str">
        <f>_xlfn.XLOOKUP(C640,customers!$A$1:$A$1001,customers!$G$1:$G$1001,,0)</f>
        <v>Ireland</v>
      </c>
      <c r="I640" t="str">
        <f>_xlfn.XLOOKUP(D640,products!$A$1:$A$49,products!$B$1:$B$49,,0)</f>
        <v>Ara</v>
      </c>
      <c r="J640" t="str">
        <f>_xlfn.XLOOKUP(D640,products!$A$1:$A$49,products!$C$1:$C$49,,0)</f>
        <v>M</v>
      </c>
      <c r="K640" s="5">
        <f>_xlfn.XLOOKUP(D640,products!$A$1:$A$49,products!$D$1:$D$49,,0)</f>
        <v>2.5</v>
      </c>
      <c r="L640" s="7">
        <f>_xlfn.XLOOKUP(D640,products!$A$1:$A$49,products!$E$1:$E$49,,0)</f>
        <v>25.874999999999996</v>
      </c>
      <c r="M640" s="7">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IF(_xlfn.XLOOKUP(F641,customers!$B$1:$B$1001,customers!$C$1:$C$1001,,0)=0,"",_xlfn.XLOOKUP(F641,customers!$B$1:$B$1001,customers!$C$1:$C$1001,,0))</f>
        <v>jcapeyhr@bravesites.com</v>
      </c>
      <c r="H641" s="2" t="str">
        <f>_xlfn.XLOOKUP(C641,customers!$A$1:$A$1001,customers!$G$1:$G$1001,,0)</f>
        <v>United States</v>
      </c>
      <c r="I641" t="str">
        <f>_xlfn.XLOOKUP(D641,products!$A$1:$A$49,products!$B$1:$B$49,,0)</f>
        <v>Lib</v>
      </c>
      <c r="J641" t="str">
        <f>_xlfn.XLOOKUP(D641,products!$A$1:$A$49,products!$C$1:$C$49,,0)</f>
        <v>D</v>
      </c>
      <c r="K641" s="5">
        <f>_xlfn.XLOOKUP(D641,products!$A$1:$A$49,products!$D$1:$D$49,,0)</f>
        <v>0.2</v>
      </c>
      <c r="L641" s="7">
        <f>_xlfn.XLOOKUP(D641,products!$A$1:$A$49,products!$E$1:$E$49,,0)</f>
        <v>3.8849999999999998</v>
      </c>
      <c r="M641" s="7">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IF(_xlfn.XLOOKUP(F642,customers!$B$1:$B$1001,customers!$C$1:$C$1001,,0)=0,"",_xlfn.XLOOKUP(F642,customers!$B$1:$B$1001,customers!$C$1:$C$1001,,0))</f>
        <v>tmathonneti0@google.co.jp</v>
      </c>
      <c r="H642" s="2" t="str">
        <f>_xlfn.XLOOKUP(C642,customers!$A$1:$A$1001,customers!$G$1:$G$1001,,0)</f>
        <v>United States</v>
      </c>
      <c r="I642" t="str">
        <f>_xlfn.XLOOKUP(D642,products!$A$1:$A$49,products!$B$1:$B$49,,0)</f>
        <v>Rob</v>
      </c>
      <c r="J642" t="str">
        <f>_xlfn.XLOOKUP(D642,products!$A$1:$A$49,products!$C$1:$C$49,,0)</f>
        <v>L</v>
      </c>
      <c r="K642" s="5">
        <f>_xlfn.XLOOKUP(D642,products!$A$1:$A$49,products!$D$1:$D$49,,0)</f>
        <v>2.5</v>
      </c>
      <c r="L642" s="7">
        <f>_xlfn.XLOOKUP(D642,products!$A$1:$A$49,products!$E$1:$E$49,,0)</f>
        <v>27.484999999999996</v>
      </c>
      <c r="M642" s="7">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IF(_xlfn.XLOOKUP(F643,customers!$B$1:$B$1001,customers!$C$1:$C$1001,,0)=0,"",_xlfn.XLOOKUP(F643,customers!$B$1:$B$1001,customers!$C$1:$C$1001,,0))</f>
        <v>ybasillht@theguardian.com</v>
      </c>
      <c r="H643" s="2" t="str">
        <f>_xlfn.XLOOKUP(C643,customers!$A$1:$A$1001,customers!$G$1:$G$1001,,0)</f>
        <v>United States</v>
      </c>
      <c r="I643" t="str">
        <f>_xlfn.XLOOKUP(D643,products!$A$1:$A$49,products!$B$1:$B$49,,0)</f>
        <v>Rob</v>
      </c>
      <c r="J643" t="str">
        <f>_xlfn.XLOOKUP(D643,products!$A$1:$A$49,products!$C$1:$C$49,,0)</f>
        <v>L</v>
      </c>
      <c r="K643" s="5">
        <f>_xlfn.XLOOKUP(D643,products!$A$1:$A$49,products!$D$1:$D$49,,0)</f>
        <v>1</v>
      </c>
      <c r="L643" s="7">
        <f>_xlfn.XLOOKUP(D643,products!$A$1:$A$49,products!$E$1:$E$49,,0)</f>
        <v>11.95</v>
      </c>
      <c r="M643" s="7">
        <f t="shared" ref="M643:M706" si="30">(L643*E643)</f>
        <v>35.849999999999994</v>
      </c>
      <c r="N643" t="str">
        <f t="shared" ref="N643:N706" si="31">IF(I643="Rob","Robusta", 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IF(_xlfn.XLOOKUP(F644,customers!$B$1:$B$1001,customers!$C$1:$C$1001,,0)=0,"",_xlfn.XLOOKUP(F644,customers!$B$1:$B$1001,customers!$C$1:$C$1001,,0))</f>
        <v>mbaistowhu@i2i.jp</v>
      </c>
      <c r="H644" s="2" t="str">
        <f>_xlfn.XLOOKUP(C644,customers!$A$1:$A$1001,customers!$G$1:$G$1001,,0)</f>
        <v>United Kingdom</v>
      </c>
      <c r="I644" t="str">
        <f>_xlfn.XLOOKUP(D644,products!$A$1:$A$49,products!$B$1:$B$49,,0)</f>
        <v>Exc</v>
      </c>
      <c r="J644" t="str">
        <f>_xlfn.XLOOKUP(D644,products!$A$1:$A$49,products!$C$1:$C$49,,0)</f>
        <v>M</v>
      </c>
      <c r="K644" s="5">
        <f>_xlfn.XLOOKUP(D644,products!$A$1:$A$49,products!$D$1:$D$49,,0)</f>
        <v>0.2</v>
      </c>
      <c r="L644" s="7">
        <f>_xlfn.XLOOKUP(D644,products!$A$1:$A$49,products!$E$1:$E$49,,0)</f>
        <v>4.125</v>
      </c>
      <c r="M644" s="7">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IF(_xlfn.XLOOKUP(F645,customers!$B$1:$B$1001,customers!$C$1:$C$1001,,0)=0,"",_xlfn.XLOOKUP(F645,customers!$B$1:$B$1001,customers!$C$1:$C$1001,,0))</f>
        <v>cpallanthv@typepad.com</v>
      </c>
      <c r="H645" s="2" t="str">
        <f>_xlfn.XLOOKUP(C645,customers!$A$1:$A$1001,customers!$G$1:$G$1001,,0)</f>
        <v>United States</v>
      </c>
      <c r="I645" t="str">
        <f>_xlfn.XLOOKUP(D645,products!$A$1:$A$49,products!$B$1:$B$49,,0)</f>
        <v>Exc</v>
      </c>
      <c r="J645" t="str">
        <f>_xlfn.XLOOKUP(D645,products!$A$1:$A$49,products!$C$1:$C$49,,0)</f>
        <v>L</v>
      </c>
      <c r="K645" s="5">
        <f>_xlfn.XLOOKUP(D645,products!$A$1:$A$49,products!$D$1:$D$49,,0)</f>
        <v>2.5</v>
      </c>
      <c r="L645" s="7">
        <f>_xlfn.XLOOKUP(D645,products!$A$1:$A$49,products!$E$1:$E$49,,0)</f>
        <v>34.154999999999994</v>
      </c>
      <c r="M645" s="7">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IF(_xlfn.XLOOKUP(F646,customers!$B$1:$B$1001,customers!$C$1:$C$1001,,0)=0,"",_xlfn.XLOOKUP(F646,customers!$B$1:$B$1001,customers!$C$1:$C$1001,,0))</f>
        <v/>
      </c>
      <c r="H646" s="2" t="str">
        <f>_xlfn.XLOOKUP(C646,customers!$A$1:$A$1001,customers!$G$1:$G$1001,,0)</f>
        <v>United States</v>
      </c>
      <c r="I646" t="str">
        <f>_xlfn.XLOOKUP(D646,products!$A$1:$A$49,products!$B$1:$B$49,,0)</f>
        <v>Rob</v>
      </c>
      <c r="J646" t="str">
        <f>_xlfn.XLOOKUP(D646,products!$A$1:$A$49,products!$C$1:$C$49,,0)</f>
        <v>D</v>
      </c>
      <c r="K646" s="5">
        <f>_xlfn.XLOOKUP(D646,products!$A$1:$A$49,products!$D$1:$D$49,,0)</f>
        <v>2.5</v>
      </c>
      <c r="L646" s="7">
        <f>_xlfn.XLOOKUP(D646,products!$A$1:$A$49,products!$E$1:$E$49,,0)</f>
        <v>20.584999999999997</v>
      </c>
      <c r="M646" s="7">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IF(_xlfn.XLOOKUP(F647,customers!$B$1:$B$1001,customers!$C$1:$C$1001,,0)=0,"",_xlfn.XLOOKUP(F647,customers!$B$1:$B$1001,customers!$C$1:$C$1001,,0))</f>
        <v>dohx@redcross.org</v>
      </c>
      <c r="H647" s="2" t="str">
        <f>_xlfn.XLOOKUP(C647,customers!$A$1:$A$1001,customers!$G$1:$G$1001,,0)</f>
        <v>United States</v>
      </c>
      <c r="I647" t="str">
        <f>_xlfn.XLOOKUP(D647,products!$A$1:$A$49,products!$B$1:$B$49,,0)</f>
        <v>Ara</v>
      </c>
      <c r="J647" t="str">
        <f>_xlfn.XLOOKUP(D647,products!$A$1:$A$49,products!$C$1:$C$49,,0)</f>
        <v>D</v>
      </c>
      <c r="K647" s="5">
        <f>_xlfn.XLOOKUP(D647,products!$A$1:$A$49,products!$D$1:$D$49,,0)</f>
        <v>2.5</v>
      </c>
      <c r="L647" s="7">
        <f>_xlfn.XLOOKUP(D647,products!$A$1:$A$49,products!$E$1:$E$49,,0)</f>
        <v>22.884999999999998</v>
      </c>
      <c r="M647" s="7">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IF(_xlfn.XLOOKUP(F648,customers!$B$1:$B$1001,customers!$C$1:$C$1001,,0)=0,"",_xlfn.XLOOKUP(F648,customers!$B$1:$B$1001,customers!$C$1:$C$1001,,0))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5">
        <f>_xlfn.XLOOKUP(D648,products!$A$1:$A$49,products!$D$1:$D$49,,0)</f>
        <v>1</v>
      </c>
      <c r="L648" s="7">
        <f>_xlfn.XLOOKUP(D648,products!$A$1:$A$49,products!$E$1:$E$49,,0)</f>
        <v>9.9499999999999993</v>
      </c>
      <c r="M648" s="7">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IF(_xlfn.XLOOKUP(F649,customers!$B$1:$B$1001,customers!$C$1:$C$1001,,0)=0,"",_xlfn.XLOOKUP(F649,customers!$B$1:$B$1001,customers!$C$1:$C$1001,,0))</f>
        <v>achillhz@epa.gov</v>
      </c>
      <c r="H649" s="2" t="str">
        <f>_xlfn.XLOOKUP(C649,customers!$A$1:$A$1001,customers!$G$1:$G$1001,,0)</f>
        <v>United Kingdom</v>
      </c>
      <c r="I649" t="str">
        <f>_xlfn.XLOOKUP(D649,products!$A$1:$A$49,products!$B$1:$B$49,,0)</f>
        <v>Lib</v>
      </c>
      <c r="J649" t="str">
        <f>_xlfn.XLOOKUP(D649,products!$A$1:$A$49,products!$C$1:$C$49,,0)</f>
        <v>L</v>
      </c>
      <c r="K649" s="5">
        <f>_xlfn.XLOOKUP(D649,products!$A$1:$A$49,products!$D$1:$D$49,,0)</f>
        <v>0.5</v>
      </c>
      <c r="L649" s="7">
        <f>_xlfn.XLOOKUP(D649,products!$A$1:$A$49,products!$E$1:$E$49,,0)</f>
        <v>9.51</v>
      </c>
      <c r="M649" s="7">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IF(_xlfn.XLOOKUP(F650,customers!$B$1:$B$1001,customers!$C$1:$C$1001,,0)=0,"",_xlfn.XLOOKUP(F650,customers!$B$1:$B$1001,customers!$C$1:$C$1001,,0))</f>
        <v>tmathonneti0@google.co.jp</v>
      </c>
      <c r="H650" s="2" t="str">
        <f>_xlfn.XLOOKUP(C650,customers!$A$1:$A$1001,customers!$G$1:$G$1001,,0)</f>
        <v>United States</v>
      </c>
      <c r="I650" t="str">
        <f>_xlfn.XLOOKUP(D650,products!$A$1:$A$49,products!$B$1:$B$49,,0)</f>
        <v>Rob</v>
      </c>
      <c r="J650" t="str">
        <f>_xlfn.XLOOKUP(D650,products!$A$1:$A$49,products!$C$1:$C$49,,0)</f>
        <v>D</v>
      </c>
      <c r="K650" s="5">
        <f>_xlfn.XLOOKUP(D650,products!$A$1:$A$49,products!$D$1:$D$49,,0)</f>
        <v>0.2</v>
      </c>
      <c r="L650" s="7">
        <f>_xlfn.XLOOKUP(D650,products!$A$1:$A$49,products!$E$1:$E$49,,0)</f>
        <v>2.6849999999999996</v>
      </c>
      <c r="M650" s="7">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IF(_xlfn.XLOOKUP(F651,customers!$B$1:$B$1001,customers!$C$1:$C$1001,,0)=0,"",_xlfn.XLOOKUP(F651,customers!$B$1:$B$1001,customers!$C$1:$C$1001,,0))</f>
        <v>cdenysi1@is.gd</v>
      </c>
      <c r="H651" s="2" t="str">
        <f>_xlfn.XLOOKUP(C651,customers!$A$1:$A$1001,customers!$G$1:$G$1001,,0)</f>
        <v>United Kingdom</v>
      </c>
      <c r="I651" t="str">
        <f>_xlfn.XLOOKUP(D651,products!$A$1:$A$49,products!$B$1:$B$49,,0)</f>
        <v>Lib</v>
      </c>
      <c r="J651" t="str">
        <f>_xlfn.XLOOKUP(D651,products!$A$1:$A$49,products!$C$1:$C$49,,0)</f>
        <v>L</v>
      </c>
      <c r="K651" s="5">
        <f>_xlfn.XLOOKUP(D651,products!$A$1:$A$49,products!$D$1:$D$49,,0)</f>
        <v>1</v>
      </c>
      <c r="L651" s="7">
        <f>_xlfn.XLOOKUP(D651,products!$A$1:$A$49,products!$E$1:$E$49,,0)</f>
        <v>15.85</v>
      </c>
      <c r="M651" s="7">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IF(_xlfn.XLOOKUP(F652,customers!$B$1:$B$1001,customers!$C$1:$C$1001,,0)=0,"",_xlfn.XLOOKUP(F652,customers!$B$1:$B$1001,customers!$C$1:$C$1001,,0))</f>
        <v>cstebbingsi2@drupal.org</v>
      </c>
      <c r="H652" s="2" t="str">
        <f>_xlfn.XLOOKUP(C652,customers!$A$1:$A$1001,customers!$G$1:$G$1001,,0)</f>
        <v>United States</v>
      </c>
      <c r="I652" t="str">
        <f>_xlfn.XLOOKUP(D652,products!$A$1:$A$49,products!$B$1:$B$49,,0)</f>
        <v>Rob</v>
      </c>
      <c r="J652" t="str">
        <f>_xlfn.XLOOKUP(D652,products!$A$1:$A$49,products!$C$1:$C$49,,0)</f>
        <v>D</v>
      </c>
      <c r="K652" s="5">
        <f>_xlfn.XLOOKUP(D652,products!$A$1:$A$49,products!$D$1:$D$49,,0)</f>
        <v>0.5</v>
      </c>
      <c r="L652" s="7">
        <f>_xlfn.XLOOKUP(D652,products!$A$1:$A$49,products!$E$1:$E$49,,0)</f>
        <v>5.3699999999999992</v>
      </c>
      <c r="M652" s="7">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IF(_xlfn.XLOOKUP(F653,customers!$B$1:$B$1001,customers!$C$1:$C$1001,,0)=0,"",_xlfn.XLOOKUP(F653,customers!$B$1:$B$1001,customers!$C$1:$C$1001,,0))</f>
        <v/>
      </c>
      <c r="H653" s="2" t="str">
        <f>_xlfn.XLOOKUP(C653,customers!$A$1:$A$1001,customers!$G$1:$G$1001,,0)</f>
        <v>United States</v>
      </c>
      <c r="I653" t="str">
        <f>_xlfn.XLOOKUP(D653,products!$A$1:$A$49,products!$B$1:$B$49,,0)</f>
        <v>Rob</v>
      </c>
      <c r="J653" t="str">
        <f>_xlfn.XLOOKUP(D653,products!$A$1:$A$49,products!$C$1:$C$49,,0)</f>
        <v>L</v>
      </c>
      <c r="K653" s="5">
        <f>_xlfn.XLOOKUP(D653,products!$A$1:$A$49,products!$D$1:$D$49,,0)</f>
        <v>1</v>
      </c>
      <c r="L653" s="7">
        <f>_xlfn.XLOOKUP(D653,products!$A$1:$A$49,products!$E$1:$E$49,,0)</f>
        <v>11.95</v>
      </c>
      <c r="M653" s="7">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IF(_xlfn.XLOOKUP(F654,customers!$B$1:$B$1001,customers!$C$1:$C$1001,,0)=0,"",_xlfn.XLOOKUP(F654,customers!$B$1:$B$1001,customers!$C$1:$C$1001,,0))</f>
        <v>rzywickii4@ifeng.com</v>
      </c>
      <c r="H654" s="2" t="str">
        <f>_xlfn.XLOOKUP(C654,customers!$A$1:$A$1001,customers!$G$1:$G$1001,,0)</f>
        <v>Ireland</v>
      </c>
      <c r="I654" t="str">
        <f>_xlfn.XLOOKUP(D654,products!$A$1:$A$49,products!$B$1:$B$49,,0)</f>
        <v>Lib</v>
      </c>
      <c r="J654" t="str">
        <f>_xlfn.XLOOKUP(D654,products!$A$1:$A$49,products!$C$1:$C$49,,0)</f>
        <v>L</v>
      </c>
      <c r="K654" s="5">
        <f>_xlfn.XLOOKUP(D654,products!$A$1:$A$49,products!$D$1:$D$49,,0)</f>
        <v>1</v>
      </c>
      <c r="L654" s="7">
        <f>_xlfn.XLOOKUP(D654,products!$A$1:$A$49,products!$E$1:$E$49,,0)</f>
        <v>15.85</v>
      </c>
      <c r="M654" s="7">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IF(_xlfn.XLOOKUP(F655,customers!$B$1:$B$1001,customers!$C$1:$C$1001,,0)=0,"",_xlfn.XLOOKUP(F655,customers!$B$1:$B$1001,customers!$C$1:$C$1001,,0))</f>
        <v>aburgetti5@moonfruit.com</v>
      </c>
      <c r="H655" s="2" t="str">
        <f>_xlfn.XLOOKUP(C655,customers!$A$1:$A$1001,customers!$G$1:$G$1001,,0)</f>
        <v>United States</v>
      </c>
      <c r="I655" t="str">
        <f>_xlfn.XLOOKUP(D655,products!$A$1:$A$49,products!$B$1:$B$49,,0)</f>
        <v>Ara</v>
      </c>
      <c r="J655" t="str">
        <f>_xlfn.XLOOKUP(D655,products!$A$1:$A$49,products!$C$1:$C$49,,0)</f>
        <v>M</v>
      </c>
      <c r="K655" s="5">
        <f>_xlfn.XLOOKUP(D655,products!$A$1:$A$49,products!$D$1:$D$49,,0)</f>
        <v>2.5</v>
      </c>
      <c r="L655" s="7">
        <f>_xlfn.XLOOKUP(D655,products!$A$1:$A$49,products!$E$1:$E$49,,0)</f>
        <v>25.874999999999996</v>
      </c>
      <c r="M655" s="7">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IF(_xlfn.XLOOKUP(F656,customers!$B$1:$B$1001,customers!$C$1:$C$1001,,0)=0,"",_xlfn.XLOOKUP(F656,customers!$B$1:$B$1001,customers!$C$1:$C$1001,,0))</f>
        <v>mmalloyi6@seattletimes.com</v>
      </c>
      <c r="H656" s="2" t="str">
        <f>_xlfn.XLOOKUP(C656,customers!$A$1:$A$1001,customers!$G$1:$G$1001,,0)</f>
        <v>United States</v>
      </c>
      <c r="I656" t="str">
        <f>_xlfn.XLOOKUP(D656,products!$A$1:$A$49,products!$B$1:$B$49,,0)</f>
        <v>Ara</v>
      </c>
      <c r="J656" t="str">
        <f>_xlfn.XLOOKUP(D656,products!$A$1:$A$49,products!$C$1:$C$49,,0)</f>
        <v>D</v>
      </c>
      <c r="K656" s="5">
        <f>_xlfn.XLOOKUP(D656,products!$A$1:$A$49,products!$D$1:$D$49,,0)</f>
        <v>2.5</v>
      </c>
      <c r="L656" s="7">
        <f>_xlfn.XLOOKUP(D656,products!$A$1:$A$49,products!$E$1:$E$49,,0)</f>
        <v>22.884999999999998</v>
      </c>
      <c r="M656" s="7">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IF(_xlfn.XLOOKUP(F657,customers!$B$1:$B$1001,customers!$C$1:$C$1001,,0)=0,"",_xlfn.XLOOKUP(F657,customers!$B$1:$B$1001,customers!$C$1:$C$1001,,0))</f>
        <v>mmcparlandi7@w3.org</v>
      </c>
      <c r="H657" s="2" t="str">
        <f>_xlfn.XLOOKUP(C657,customers!$A$1:$A$1001,customers!$G$1:$G$1001,,0)</f>
        <v>United States</v>
      </c>
      <c r="I657" t="str">
        <f>_xlfn.XLOOKUP(D657,products!$A$1:$A$49,products!$B$1:$B$49,,0)</f>
        <v>Rob</v>
      </c>
      <c r="J657" t="str">
        <f>_xlfn.XLOOKUP(D657,products!$A$1:$A$49,products!$C$1:$C$49,,0)</f>
        <v>M</v>
      </c>
      <c r="K657" s="5">
        <f>_xlfn.XLOOKUP(D657,products!$A$1:$A$49,products!$D$1:$D$49,,0)</f>
        <v>2.5</v>
      </c>
      <c r="L657" s="7">
        <f>_xlfn.XLOOKUP(D657,products!$A$1:$A$49,products!$E$1:$E$49,,0)</f>
        <v>22.884999999999998</v>
      </c>
      <c r="M657" s="7">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IF(_xlfn.XLOOKUP(F658,customers!$B$1:$B$1001,customers!$C$1:$C$1001,,0)=0,"",_xlfn.XLOOKUP(F658,customers!$B$1:$B$1001,customers!$C$1:$C$1001,,0))</f>
        <v>sjennaroyi8@purevolume.com</v>
      </c>
      <c r="H658" s="2" t="str">
        <f>_xlfn.XLOOKUP(C658,customers!$A$1:$A$1001,customers!$G$1:$G$1001,,0)</f>
        <v>United States</v>
      </c>
      <c r="I658" t="str">
        <f>_xlfn.XLOOKUP(D658,products!$A$1:$A$49,products!$B$1:$B$49,,0)</f>
        <v>Lib</v>
      </c>
      <c r="J658" t="str">
        <f>_xlfn.XLOOKUP(D658,products!$A$1:$A$49,products!$C$1:$C$49,,0)</f>
        <v>D</v>
      </c>
      <c r="K658" s="5">
        <f>_xlfn.XLOOKUP(D658,products!$A$1:$A$49,products!$D$1:$D$49,,0)</f>
        <v>1</v>
      </c>
      <c r="L658" s="7">
        <f>_xlfn.XLOOKUP(D658,products!$A$1:$A$49,products!$E$1:$E$49,,0)</f>
        <v>12.95</v>
      </c>
      <c r="M658" s="7">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IF(_xlfn.XLOOKUP(F659,customers!$B$1:$B$1001,customers!$C$1:$C$1001,,0)=0,"",_xlfn.XLOOKUP(F659,customers!$B$1:$B$1001,customers!$C$1:$C$1001,,0))</f>
        <v>wplacei9@wsj.com</v>
      </c>
      <c r="H659" s="2" t="str">
        <f>_xlfn.XLOOKUP(C659,customers!$A$1:$A$1001,customers!$G$1:$G$1001,,0)</f>
        <v>United States</v>
      </c>
      <c r="I659" t="str">
        <f>_xlfn.XLOOKUP(D659,products!$A$1:$A$49,products!$B$1:$B$49,,0)</f>
        <v>Ara</v>
      </c>
      <c r="J659" t="str">
        <f>_xlfn.XLOOKUP(D659,products!$A$1:$A$49,products!$C$1:$C$49,,0)</f>
        <v>M</v>
      </c>
      <c r="K659" s="5">
        <f>_xlfn.XLOOKUP(D659,products!$A$1:$A$49,products!$D$1:$D$49,,0)</f>
        <v>0.5</v>
      </c>
      <c r="L659" s="7">
        <f>_xlfn.XLOOKUP(D659,products!$A$1:$A$49,products!$E$1:$E$49,,0)</f>
        <v>6.75</v>
      </c>
      <c r="M659" s="7">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IF(_xlfn.XLOOKUP(F660,customers!$B$1:$B$1001,customers!$C$1:$C$1001,,0)=0,"",_xlfn.XLOOKUP(F660,customers!$B$1:$B$1001,customers!$C$1:$C$1001,,0))</f>
        <v>jmillettik@addtoany.com</v>
      </c>
      <c r="H660" s="2" t="str">
        <f>_xlfn.XLOOKUP(C660,customers!$A$1:$A$1001,customers!$G$1:$G$1001,,0)</f>
        <v>United States</v>
      </c>
      <c r="I660" t="str">
        <f>_xlfn.XLOOKUP(D660,products!$A$1:$A$49,products!$B$1:$B$49,,0)</f>
        <v>Exc</v>
      </c>
      <c r="J660" t="str">
        <f>_xlfn.XLOOKUP(D660,products!$A$1:$A$49,products!$C$1:$C$49,,0)</f>
        <v>M</v>
      </c>
      <c r="K660" s="5">
        <f>_xlfn.XLOOKUP(D660,products!$A$1:$A$49,products!$D$1:$D$49,,0)</f>
        <v>0.5</v>
      </c>
      <c r="L660" s="7">
        <f>_xlfn.XLOOKUP(D660,products!$A$1:$A$49,products!$E$1:$E$49,,0)</f>
        <v>8.25</v>
      </c>
      <c r="M660" s="7">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IF(_xlfn.XLOOKUP(F661,customers!$B$1:$B$1001,customers!$C$1:$C$1001,,0)=0,"",_xlfn.XLOOKUP(F661,customers!$B$1:$B$1001,customers!$C$1:$C$1001,,0))</f>
        <v>dgadsdenib@google.com.hk</v>
      </c>
      <c r="H661" s="2" t="str">
        <f>_xlfn.XLOOKUP(C661,customers!$A$1:$A$1001,customers!$G$1:$G$1001,,0)</f>
        <v>Ireland</v>
      </c>
      <c r="I661" t="str">
        <f>_xlfn.XLOOKUP(D661,products!$A$1:$A$49,products!$B$1:$B$49,,0)</f>
        <v>Ara</v>
      </c>
      <c r="J661" t="str">
        <f>_xlfn.XLOOKUP(D661,products!$A$1:$A$49,products!$C$1:$C$49,,0)</f>
        <v>D</v>
      </c>
      <c r="K661" s="5">
        <f>_xlfn.XLOOKUP(D661,products!$A$1:$A$49,products!$D$1:$D$49,,0)</f>
        <v>2.5</v>
      </c>
      <c r="L661" s="7">
        <f>_xlfn.XLOOKUP(D661,products!$A$1:$A$49,products!$E$1:$E$49,,0)</f>
        <v>22.884999999999998</v>
      </c>
      <c r="M661" s="7">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IF(_xlfn.XLOOKUP(F662,customers!$B$1:$B$1001,customers!$C$1:$C$1001,,0)=0,"",_xlfn.XLOOKUP(F662,customers!$B$1:$B$1001,customers!$C$1:$C$1001,,0))</f>
        <v>vwakelinic@unesco.org</v>
      </c>
      <c r="H662" s="2" t="str">
        <f>_xlfn.XLOOKUP(C662,customers!$A$1:$A$1001,customers!$G$1:$G$1001,,0)</f>
        <v>United States</v>
      </c>
      <c r="I662" t="str">
        <f>_xlfn.XLOOKUP(D662,products!$A$1:$A$49,products!$B$1:$B$49,,0)</f>
        <v>Exc</v>
      </c>
      <c r="J662" t="str">
        <f>_xlfn.XLOOKUP(D662,products!$A$1:$A$49,products!$C$1:$C$49,,0)</f>
        <v>L</v>
      </c>
      <c r="K662" s="5">
        <f>_xlfn.XLOOKUP(D662,products!$A$1:$A$49,products!$D$1:$D$49,,0)</f>
        <v>0.5</v>
      </c>
      <c r="L662" s="7">
        <f>_xlfn.XLOOKUP(D662,products!$A$1:$A$49,products!$E$1:$E$49,,0)</f>
        <v>8.91</v>
      </c>
      <c r="M662" s="7">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IF(_xlfn.XLOOKUP(F663,customers!$B$1:$B$1001,customers!$C$1:$C$1001,,0)=0,"",_xlfn.XLOOKUP(F663,customers!$B$1:$B$1001,customers!$C$1:$C$1001,,0))</f>
        <v>acampsallid@zimbio.com</v>
      </c>
      <c r="H663" s="2" t="str">
        <f>_xlfn.XLOOKUP(C663,customers!$A$1:$A$1001,customers!$G$1:$G$1001,,0)</f>
        <v>United States</v>
      </c>
      <c r="I663" t="str">
        <f>_xlfn.XLOOKUP(D663,products!$A$1:$A$49,products!$B$1:$B$49,,0)</f>
        <v>Ara</v>
      </c>
      <c r="J663" t="str">
        <f>_xlfn.XLOOKUP(D663,products!$A$1:$A$49,products!$C$1:$C$49,,0)</f>
        <v>M</v>
      </c>
      <c r="K663" s="5">
        <f>_xlfn.XLOOKUP(D663,products!$A$1:$A$49,products!$D$1:$D$49,,0)</f>
        <v>0.2</v>
      </c>
      <c r="L663" s="7">
        <f>_xlfn.XLOOKUP(D663,products!$A$1:$A$49,products!$E$1:$E$49,,0)</f>
        <v>3.375</v>
      </c>
      <c r="M663" s="7">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IF(_xlfn.XLOOKUP(F664,customers!$B$1:$B$1001,customers!$C$1:$C$1001,,0)=0,"",_xlfn.XLOOKUP(F664,customers!$B$1:$B$1001,customers!$C$1:$C$1001,,0))</f>
        <v>smosebyie@stanford.edu</v>
      </c>
      <c r="H664" s="2" t="str">
        <f>_xlfn.XLOOKUP(C664,customers!$A$1:$A$1001,customers!$G$1:$G$1001,,0)</f>
        <v>United States</v>
      </c>
      <c r="I664" t="str">
        <f>_xlfn.XLOOKUP(D664,products!$A$1:$A$49,products!$B$1:$B$49,,0)</f>
        <v>Lib</v>
      </c>
      <c r="J664" t="str">
        <f>_xlfn.XLOOKUP(D664,products!$A$1:$A$49,products!$C$1:$C$49,,0)</f>
        <v>D</v>
      </c>
      <c r="K664" s="5">
        <f>_xlfn.XLOOKUP(D664,products!$A$1:$A$49,products!$D$1:$D$49,,0)</f>
        <v>2.5</v>
      </c>
      <c r="L664" s="7">
        <f>_xlfn.XLOOKUP(D664,products!$A$1:$A$49,products!$E$1:$E$49,,0)</f>
        <v>29.784999999999997</v>
      </c>
      <c r="M664" s="7">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IF(_xlfn.XLOOKUP(F665,customers!$B$1:$B$1001,customers!$C$1:$C$1001,,0)=0,"",_xlfn.XLOOKUP(F665,customers!$B$1:$B$1001,customers!$C$1:$C$1001,,0))</f>
        <v>cwassif@prweb.com</v>
      </c>
      <c r="H665" s="2" t="str">
        <f>_xlfn.XLOOKUP(C665,customers!$A$1:$A$1001,customers!$G$1:$G$1001,,0)</f>
        <v>United States</v>
      </c>
      <c r="I665" t="str">
        <f>_xlfn.XLOOKUP(D665,products!$A$1:$A$49,products!$B$1:$B$49,,0)</f>
        <v>Ara</v>
      </c>
      <c r="J665" t="str">
        <f>_xlfn.XLOOKUP(D665,products!$A$1:$A$49,products!$C$1:$C$49,,0)</f>
        <v>M</v>
      </c>
      <c r="K665" s="5">
        <f>_xlfn.XLOOKUP(D665,products!$A$1:$A$49,products!$D$1:$D$49,,0)</f>
        <v>1</v>
      </c>
      <c r="L665" s="7">
        <f>_xlfn.XLOOKUP(D665,products!$A$1:$A$49,products!$E$1:$E$49,,0)</f>
        <v>11.25</v>
      </c>
      <c r="M665" s="7">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IF(_xlfn.XLOOKUP(F666,customers!$B$1:$B$1001,customers!$C$1:$C$1001,,0)=0,"",_xlfn.XLOOKUP(F666,customers!$B$1:$B$1001,customers!$C$1:$C$1001,,0))</f>
        <v>isjostromig@pbs.org</v>
      </c>
      <c r="H666" s="2" t="str">
        <f>_xlfn.XLOOKUP(C666,customers!$A$1:$A$1001,customers!$G$1:$G$1001,,0)</f>
        <v>United States</v>
      </c>
      <c r="I666" t="str">
        <f>_xlfn.XLOOKUP(D666,products!$A$1:$A$49,products!$B$1:$B$49,,0)</f>
        <v>Exc</v>
      </c>
      <c r="J666" t="str">
        <f>_xlfn.XLOOKUP(D666,products!$A$1:$A$49,products!$C$1:$C$49,,0)</f>
        <v>D</v>
      </c>
      <c r="K666" s="5">
        <f>_xlfn.XLOOKUP(D666,products!$A$1:$A$49,products!$D$1:$D$49,,0)</f>
        <v>1</v>
      </c>
      <c r="L666" s="7">
        <f>_xlfn.XLOOKUP(D666,products!$A$1:$A$49,products!$E$1:$E$49,,0)</f>
        <v>12.15</v>
      </c>
      <c r="M666" s="7">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IF(_xlfn.XLOOKUP(F667,customers!$B$1:$B$1001,customers!$C$1:$C$1001,,0)=0,"",_xlfn.XLOOKUP(F667,customers!$B$1:$B$1001,customers!$C$1:$C$1001,,0))</f>
        <v>isjostromig@pbs.org</v>
      </c>
      <c r="H667" s="2" t="str">
        <f>_xlfn.XLOOKUP(C667,customers!$A$1:$A$1001,customers!$G$1:$G$1001,,0)</f>
        <v>United States</v>
      </c>
      <c r="I667" t="str">
        <f>_xlfn.XLOOKUP(D667,products!$A$1:$A$49,products!$B$1:$B$49,,0)</f>
        <v>Lib</v>
      </c>
      <c r="J667" t="str">
        <f>_xlfn.XLOOKUP(D667,products!$A$1:$A$49,products!$C$1:$C$49,,0)</f>
        <v>D</v>
      </c>
      <c r="K667" s="5">
        <f>_xlfn.XLOOKUP(D667,products!$A$1:$A$49,products!$D$1:$D$49,,0)</f>
        <v>0.2</v>
      </c>
      <c r="L667" s="7">
        <f>_xlfn.XLOOKUP(D667,products!$A$1:$A$49,products!$E$1:$E$49,,0)</f>
        <v>3.8849999999999998</v>
      </c>
      <c r="M667" s="7">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IF(_xlfn.XLOOKUP(F668,customers!$B$1:$B$1001,customers!$C$1:$C$1001,,0)=0,"",_xlfn.XLOOKUP(F668,customers!$B$1:$B$1001,customers!$C$1:$C$1001,,0))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5">
        <f>_xlfn.XLOOKUP(D668,products!$A$1:$A$49,products!$D$1:$D$49,,0)</f>
        <v>2.5</v>
      </c>
      <c r="L668" s="7">
        <f>_xlfn.XLOOKUP(D668,products!$A$1:$A$49,products!$E$1:$E$49,,0)</f>
        <v>22.884999999999998</v>
      </c>
      <c r="M668" s="7">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IF(_xlfn.XLOOKUP(F669,customers!$B$1:$B$1001,customers!$C$1:$C$1001,,0)=0,"",_xlfn.XLOOKUP(F669,customers!$B$1:$B$1001,customers!$C$1:$C$1001,,0))</f>
        <v>nrudlandij@blogs.com</v>
      </c>
      <c r="H669" s="2" t="str">
        <f>_xlfn.XLOOKUP(C669,customers!$A$1:$A$1001,customers!$G$1:$G$1001,,0)</f>
        <v>Ireland</v>
      </c>
      <c r="I669" t="str">
        <f>_xlfn.XLOOKUP(D669,products!$A$1:$A$49,products!$B$1:$B$49,,0)</f>
        <v>Ara</v>
      </c>
      <c r="J669" t="str">
        <f>_xlfn.XLOOKUP(D669,products!$A$1:$A$49,products!$C$1:$C$49,,0)</f>
        <v>D</v>
      </c>
      <c r="K669" s="5">
        <f>_xlfn.XLOOKUP(D669,products!$A$1:$A$49,products!$D$1:$D$49,,0)</f>
        <v>1</v>
      </c>
      <c r="L669" s="7">
        <f>_xlfn.XLOOKUP(D669,products!$A$1:$A$49,products!$E$1:$E$49,,0)</f>
        <v>9.9499999999999993</v>
      </c>
      <c r="M669" s="7">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IF(_xlfn.XLOOKUP(F670,customers!$B$1:$B$1001,customers!$C$1:$C$1001,,0)=0,"",_xlfn.XLOOKUP(F670,customers!$B$1:$B$1001,customers!$C$1:$C$1001,,0))</f>
        <v>jmillettik@addtoany.com</v>
      </c>
      <c r="H670" s="2" t="str">
        <f>_xlfn.XLOOKUP(C670,customers!$A$1:$A$1001,customers!$G$1:$G$1001,,0)</f>
        <v>United States</v>
      </c>
      <c r="I670" t="str">
        <f>_xlfn.XLOOKUP(D670,products!$A$1:$A$49,products!$B$1:$B$49,,0)</f>
        <v>Rob</v>
      </c>
      <c r="J670" t="str">
        <f>_xlfn.XLOOKUP(D670,products!$A$1:$A$49,products!$C$1:$C$49,,0)</f>
        <v>L</v>
      </c>
      <c r="K670" s="5">
        <f>_xlfn.XLOOKUP(D670,products!$A$1:$A$49,products!$D$1:$D$49,,0)</f>
        <v>2.5</v>
      </c>
      <c r="L670" s="7">
        <f>_xlfn.XLOOKUP(D670,products!$A$1:$A$49,products!$E$1:$E$49,,0)</f>
        <v>27.484999999999996</v>
      </c>
      <c r="M670" s="7">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IF(_xlfn.XLOOKUP(F671,customers!$B$1:$B$1001,customers!$C$1:$C$1001,,0)=0,"",_xlfn.XLOOKUP(F671,customers!$B$1:$B$1001,customers!$C$1:$C$1001,,0))</f>
        <v>ftourryil@google.de</v>
      </c>
      <c r="H671" s="2" t="str">
        <f>_xlfn.XLOOKUP(C671,customers!$A$1:$A$1001,customers!$G$1:$G$1001,,0)</f>
        <v>United States</v>
      </c>
      <c r="I671" t="str">
        <f>_xlfn.XLOOKUP(D671,products!$A$1:$A$49,products!$B$1:$B$49,,0)</f>
        <v>Lib</v>
      </c>
      <c r="J671" t="str">
        <f>_xlfn.XLOOKUP(D671,products!$A$1:$A$49,products!$C$1:$C$49,,0)</f>
        <v>M</v>
      </c>
      <c r="K671" s="5">
        <f>_xlfn.XLOOKUP(D671,products!$A$1:$A$49,products!$D$1:$D$49,,0)</f>
        <v>2.5</v>
      </c>
      <c r="L671" s="7">
        <f>_xlfn.XLOOKUP(D671,products!$A$1:$A$49,products!$E$1:$E$49,,0)</f>
        <v>33.464999999999996</v>
      </c>
      <c r="M671" s="7">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IF(_xlfn.XLOOKUP(F672,customers!$B$1:$B$1001,customers!$C$1:$C$1001,,0)=0,"",_xlfn.XLOOKUP(F672,customers!$B$1:$B$1001,customers!$C$1:$C$1001,,0))</f>
        <v>cweatherallim@toplist.cz</v>
      </c>
      <c r="H672" s="2" t="str">
        <f>_xlfn.XLOOKUP(C672,customers!$A$1:$A$1001,customers!$G$1:$G$1001,,0)</f>
        <v>United States</v>
      </c>
      <c r="I672" t="str">
        <f>_xlfn.XLOOKUP(D672,products!$A$1:$A$49,products!$B$1:$B$49,,0)</f>
        <v>Lib</v>
      </c>
      <c r="J672" t="str">
        <f>_xlfn.XLOOKUP(D672,products!$A$1:$A$49,products!$C$1:$C$49,,0)</f>
        <v>M</v>
      </c>
      <c r="K672" s="5">
        <f>_xlfn.XLOOKUP(D672,products!$A$1:$A$49,products!$D$1:$D$49,,0)</f>
        <v>0.2</v>
      </c>
      <c r="L672" s="7">
        <f>_xlfn.XLOOKUP(D672,products!$A$1:$A$49,products!$E$1:$E$49,,0)</f>
        <v>4.3650000000000002</v>
      </c>
      <c r="M672" s="7">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IF(_xlfn.XLOOKUP(F673,customers!$B$1:$B$1001,customers!$C$1:$C$1001,,0)=0,"",_xlfn.XLOOKUP(F673,customers!$B$1:$B$1001,customers!$C$1:$C$1001,,0))</f>
        <v>gheindrickin@usda.gov</v>
      </c>
      <c r="H673" s="2" t="str">
        <f>_xlfn.XLOOKUP(C673,customers!$A$1:$A$1001,customers!$G$1:$G$1001,,0)</f>
        <v>United States</v>
      </c>
      <c r="I673" t="str">
        <f>_xlfn.XLOOKUP(D673,products!$A$1:$A$49,products!$B$1:$B$49,,0)</f>
        <v>Rob</v>
      </c>
      <c r="J673" t="str">
        <f>_xlfn.XLOOKUP(D673,products!$A$1:$A$49,products!$C$1:$C$49,,0)</f>
        <v>L</v>
      </c>
      <c r="K673" s="5">
        <f>_xlfn.XLOOKUP(D673,products!$A$1:$A$49,products!$D$1:$D$49,,0)</f>
        <v>1</v>
      </c>
      <c r="L673" s="7">
        <f>_xlfn.XLOOKUP(D673,products!$A$1:$A$49,products!$E$1:$E$49,,0)</f>
        <v>11.95</v>
      </c>
      <c r="M673" s="7">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IF(_xlfn.XLOOKUP(F674,customers!$B$1:$B$1001,customers!$C$1:$C$1001,,0)=0,"",_xlfn.XLOOKUP(F674,customers!$B$1:$B$1001,customers!$C$1:$C$1001,,0))</f>
        <v>limasonio@discuz.net</v>
      </c>
      <c r="H674" s="2" t="str">
        <f>_xlfn.XLOOKUP(C674,customers!$A$1:$A$1001,customers!$G$1:$G$1001,,0)</f>
        <v>United States</v>
      </c>
      <c r="I674" t="str">
        <f>_xlfn.XLOOKUP(D674,products!$A$1:$A$49,products!$B$1:$B$49,,0)</f>
        <v>Lib</v>
      </c>
      <c r="J674" t="str">
        <f>_xlfn.XLOOKUP(D674,products!$A$1:$A$49,products!$C$1:$C$49,,0)</f>
        <v>M</v>
      </c>
      <c r="K674" s="5">
        <f>_xlfn.XLOOKUP(D674,products!$A$1:$A$49,products!$D$1:$D$49,,0)</f>
        <v>0.5</v>
      </c>
      <c r="L674" s="7">
        <f>_xlfn.XLOOKUP(D674,products!$A$1:$A$49,products!$E$1:$E$49,,0)</f>
        <v>8.73</v>
      </c>
      <c r="M674" s="7">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IF(_xlfn.XLOOKUP(F675,customers!$B$1:$B$1001,customers!$C$1:$C$1001,,0)=0,"",_xlfn.XLOOKUP(F675,customers!$B$1:$B$1001,customers!$C$1:$C$1001,,0))</f>
        <v>hsaillip@odnoklassniki.ru</v>
      </c>
      <c r="H675" s="2" t="str">
        <f>_xlfn.XLOOKUP(C675,customers!$A$1:$A$1001,customers!$G$1:$G$1001,,0)</f>
        <v>United States</v>
      </c>
      <c r="I675" t="str">
        <f>_xlfn.XLOOKUP(D675,products!$A$1:$A$49,products!$B$1:$B$49,,0)</f>
        <v>Exc</v>
      </c>
      <c r="J675" t="str">
        <f>_xlfn.XLOOKUP(D675,products!$A$1:$A$49,products!$C$1:$C$49,,0)</f>
        <v>M</v>
      </c>
      <c r="K675" s="5">
        <f>_xlfn.XLOOKUP(D675,products!$A$1:$A$49,products!$D$1:$D$49,,0)</f>
        <v>1</v>
      </c>
      <c r="L675" s="7">
        <f>_xlfn.XLOOKUP(D675,products!$A$1:$A$49,products!$E$1:$E$49,,0)</f>
        <v>13.75</v>
      </c>
      <c r="M675" s="7">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IF(_xlfn.XLOOKUP(F676,customers!$B$1:$B$1001,customers!$C$1:$C$1001,,0)=0,"",_xlfn.XLOOKUP(F676,customers!$B$1:$B$1001,customers!$C$1:$C$1001,,0))</f>
        <v>hlarvoriq@last.fm</v>
      </c>
      <c r="H676" s="2" t="str">
        <f>_xlfn.XLOOKUP(C676,customers!$A$1:$A$1001,customers!$G$1:$G$1001,,0)</f>
        <v>United States</v>
      </c>
      <c r="I676" t="str">
        <f>_xlfn.XLOOKUP(D676,products!$A$1:$A$49,products!$B$1:$B$49,,0)</f>
        <v>Ara</v>
      </c>
      <c r="J676" t="str">
        <f>_xlfn.XLOOKUP(D676,products!$A$1:$A$49,products!$C$1:$C$49,,0)</f>
        <v>L</v>
      </c>
      <c r="K676" s="5">
        <f>_xlfn.XLOOKUP(D676,products!$A$1:$A$49,products!$D$1:$D$49,,0)</f>
        <v>2.5</v>
      </c>
      <c r="L676" s="7">
        <f>_xlfn.XLOOKUP(D676,products!$A$1:$A$49,products!$E$1:$E$49,,0)</f>
        <v>29.784999999999997</v>
      </c>
      <c r="M676" s="7">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IF(_xlfn.XLOOKUP(F677,customers!$B$1:$B$1001,customers!$C$1:$C$1001,,0)=0,"",_xlfn.XLOOKUP(F677,customers!$B$1:$B$1001,customers!$C$1:$C$1001,,0))</f>
        <v/>
      </c>
      <c r="H677" s="2" t="str">
        <f>_xlfn.XLOOKUP(C677,customers!$A$1:$A$1001,customers!$G$1:$G$1001,,0)</f>
        <v>United States</v>
      </c>
      <c r="I677" t="str">
        <f>_xlfn.XLOOKUP(D677,products!$A$1:$A$49,products!$B$1:$B$49,,0)</f>
        <v>Lib</v>
      </c>
      <c r="J677" t="str">
        <f>_xlfn.XLOOKUP(D677,products!$A$1:$A$49,products!$C$1:$C$49,,0)</f>
        <v>D</v>
      </c>
      <c r="K677" s="5">
        <f>_xlfn.XLOOKUP(D677,products!$A$1:$A$49,products!$D$1:$D$49,,0)</f>
        <v>2.5</v>
      </c>
      <c r="L677" s="7">
        <f>_xlfn.XLOOKUP(D677,products!$A$1:$A$49,products!$E$1:$E$49,,0)</f>
        <v>29.784999999999997</v>
      </c>
      <c r="M677" s="7">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IF(_xlfn.XLOOKUP(F678,customers!$B$1:$B$1001,customers!$C$1:$C$1001,,0)=0,"",_xlfn.XLOOKUP(F678,customers!$B$1:$B$1001,customers!$C$1:$C$1001,,0))</f>
        <v/>
      </c>
      <c r="H678" s="2" t="str">
        <f>_xlfn.XLOOKUP(C678,customers!$A$1:$A$1001,customers!$G$1:$G$1001,,0)</f>
        <v>United States</v>
      </c>
      <c r="I678" t="str">
        <f>_xlfn.XLOOKUP(D678,products!$A$1:$A$49,products!$B$1:$B$49,,0)</f>
        <v>Lib</v>
      </c>
      <c r="J678" t="str">
        <f>_xlfn.XLOOKUP(D678,products!$A$1:$A$49,products!$C$1:$C$49,,0)</f>
        <v>L</v>
      </c>
      <c r="K678" s="5">
        <f>_xlfn.XLOOKUP(D678,products!$A$1:$A$49,products!$D$1:$D$49,,0)</f>
        <v>0.5</v>
      </c>
      <c r="L678" s="7">
        <f>_xlfn.XLOOKUP(D678,products!$A$1:$A$49,products!$E$1:$E$49,,0)</f>
        <v>9.51</v>
      </c>
      <c r="M678" s="7">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IF(_xlfn.XLOOKUP(F679,customers!$B$1:$B$1001,customers!$C$1:$C$1001,,0)=0,"",_xlfn.XLOOKUP(F679,customers!$B$1:$B$1001,customers!$C$1:$C$1001,,0))</f>
        <v>cpenwardenit@mlb.com</v>
      </c>
      <c r="H679" s="2" t="str">
        <f>_xlfn.XLOOKUP(C679,customers!$A$1:$A$1001,customers!$G$1:$G$1001,,0)</f>
        <v>Ireland</v>
      </c>
      <c r="I679" t="str">
        <f>_xlfn.XLOOKUP(D679,products!$A$1:$A$49,products!$B$1:$B$49,,0)</f>
        <v>Lib</v>
      </c>
      <c r="J679" t="str">
        <f>_xlfn.XLOOKUP(D679,products!$A$1:$A$49,products!$C$1:$C$49,,0)</f>
        <v>M</v>
      </c>
      <c r="K679" s="5">
        <f>_xlfn.XLOOKUP(D679,products!$A$1:$A$49,products!$D$1:$D$49,,0)</f>
        <v>0.5</v>
      </c>
      <c r="L679" s="7">
        <f>_xlfn.XLOOKUP(D679,products!$A$1:$A$49,products!$E$1:$E$49,,0)</f>
        <v>8.73</v>
      </c>
      <c r="M679" s="7">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IF(_xlfn.XLOOKUP(F680,customers!$B$1:$B$1001,customers!$C$1:$C$1001,,0)=0,"",_xlfn.XLOOKUP(F680,customers!$B$1:$B$1001,customers!$C$1:$C$1001,,0))</f>
        <v>mmiddisiu@dmoz.org</v>
      </c>
      <c r="H680" s="2" t="str">
        <f>_xlfn.XLOOKUP(C680,customers!$A$1:$A$1001,customers!$G$1:$G$1001,,0)</f>
        <v>United States</v>
      </c>
      <c r="I680" t="str">
        <f>_xlfn.XLOOKUP(D680,products!$A$1:$A$49,products!$B$1:$B$49,,0)</f>
        <v>Ara</v>
      </c>
      <c r="J680" t="str">
        <f>_xlfn.XLOOKUP(D680,products!$A$1:$A$49,products!$C$1:$C$49,,0)</f>
        <v>L</v>
      </c>
      <c r="K680" s="5">
        <f>_xlfn.XLOOKUP(D680,products!$A$1:$A$49,products!$D$1:$D$49,,0)</f>
        <v>2.5</v>
      </c>
      <c r="L680" s="7">
        <f>_xlfn.XLOOKUP(D680,products!$A$1:$A$49,products!$E$1:$E$49,,0)</f>
        <v>29.784999999999997</v>
      </c>
      <c r="M680" s="7">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IF(_xlfn.XLOOKUP(F681,customers!$B$1:$B$1001,customers!$C$1:$C$1001,,0)=0,"",_xlfn.XLOOKUP(F681,customers!$B$1:$B$1001,customers!$C$1:$C$1001,,0))</f>
        <v>avairowiv@studiopress.com</v>
      </c>
      <c r="H681" s="2" t="str">
        <f>_xlfn.XLOOKUP(C681,customers!$A$1:$A$1001,customers!$G$1:$G$1001,,0)</f>
        <v>United Kingdom</v>
      </c>
      <c r="I681" t="str">
        <f>_xlfn.XLOOKUP(D681,products!$A$1:$A$49,products!$B$1:$B$49,,0)</f>
        <v>Rob</v>
      </c>
      <c r="J681" t="str">
        <f>_xlfn.XLOOKUP(D681,products!$A$1:$A$49,products!$C$1:$C$49,,0)</f>
        <v>L</v>
      </c>
      <c r="K681" s="5">
        <f>_xlfn.XLOOKUP(D681,products!$A$1:$A$49,products!$D$1:$D$49,,0)</f>
        <v>2.5</v>
      </c>
      <c r="L681" s="7">
        <f>_xlfn.XLOOKUP(D681,products!$A$1:$A$49,products!$E$1:$E$49,,0)</f>
        <v>27.484999999999996</v>
      </c>
      <c r="M681" s="7">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IF(_xlfn.XLOOKUP(F682,customers!$B$1:$B$1001,customers!$C$1:$C$1001,,0)=0,"",_xlfn.XLOOKUP(F682,customers!$B$1:$B$1001,customers!$C$1:$C$1001,,0))</f>
        <v>agoldieiw@goo.gl</v>
      </c>
      <c r="H682" s="2" t="str">
        <f>_xlfn.XLOOKUP(C682,customers!$A$1:$A$1001,customers!$G$1:$G$1001,,0)</f>
        <v>United States</v>
      </c>
      <c r="I682" t="str">
        <f>_xlfn.XLOOKUP(D682,products!$A$1:$A$49,products!$B$1:$B$49,,0)</f>
        <v>Ara</v>
      </c>
      <c r="J682" t="str">
        <f>_xlfn.XLOOKUP(D682,products!$A$1:$A$49,products!$C$1:$C$49,,0)</f>
        <v>M</v>
      </c>
      <c r="K682" s="5">
        <f>_xlfn.XLOOKUP(D682,products!$A$1:$A$49,products!$D$1:$D$49,,0)</f>
        <v>1</v>
      </c>
      <c r="L682" s="7">
        <f>_xlfn.XLOOKUP(D682,products!$A$1:$A$49,products!$E$1:$E$49,,0)</f>
        <v>11.25</v>
      </c>
      <c r="M682" s="7">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IF(_xlfn.XLOOKUP(F683,customers!$B$1:$B$1001,customers!$C$1:$C$1001,,0)=0,"",_xlfn.XLOOKUP(F683,customers!$B$1:$B$1001,customers!$C$1:$C$1001,,0))</f>
        <v>nayrisix@t-online.de</v>
      </c>
      <c r="H683" s="2" t="str">
        <f>_xlfn.XLOOKUP(C683,customers!$A$1:$A$1001,customers!$G$1:$G$1001,,0)</f>
        <v>United Kingdom</v>
      </c>
      <c r="I683" t="str">
        <f>_xlfn.XLOOKUP(D683,products!$A$1:$A$49,products!$B$1:$B$49,,0)</f>
        <v>Lib</v>
      </c>
      <c r="J683" t="str">
        <f>_xlfn.XLOOKUP(D683,products!$A$1:$A$49,products!$C$1:$C$49,,0)</f>
        <v>L</v>
      </c>
      <c r="K683" s="5">
        <f>_xlfn.XLOOKUP(D683,products!$A$1:$A$49,products!$D$1:$D$49,,0)</f>
        <v>0.2</v>
      </c>
      <c r="L683" s="7">
        <f>_xlfn.XLOOKUP(D683,products!$A$1:$A$49,products!$E$1:$E$49,,0)</f>
        <v>4.7549999999999999</v>
      </c>
      <c r="M683" s="7">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IF(_xlfn.XLOOKUP(F684,customers!$B$1:$B$1001,customers!$C$1:$C$1001,,0)=0,"",_xlfn.XLOOKUP(F684,customers!$B$1:$B$1001,customers!$C$1:$C$1001,,0))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5">
        <f>_xlfn.XLOOKUP(D684,products!$A$1:$A$49,products!$D$1:$D$49,,0)</f>
        <v>0.2</v>
      </c>
      <c r="L684" s="7">
        <f>_xlfn.XLOOKUP(D684,products!$A$1:$A$49,products!$E$1:$E$49,,0)</f>
        <v>4.125</v>
      </c>
      <c r="M684" s="7">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IF(_xlfn.XLOOKUP(F685,customers!$B$1:$B$1001,customers!$C$1:$C$1001,,0)=0,"",_xlfn.XLOOKUP(F685,customers!$B$1:$B$1001,customers!$C$1:$C$1001,,0))</f>
        <v>tjacobovitziz@cbc.ca</v>
      </c>
      <c r="H685" s="2" t="str">
        <f>_xlfn.XLOOKUP(C685,customers!$A$1:$A$1001,customers!$G$1:$G$1001,,0)</f>
        <v>United States</v>
      </c>
      <c r="I685" t="str">
        <f>_xlfn.XLOOKUP(D685,products!$A$1:$A$49,products!$B$1:$B$49,,0)</f>
        <v>Lib</v>
      </c>
      <c r="J685" t="str">
        <f>_xlfn.XLOOKUP(D685,products!$A$1:$A$49,products!$C$1:$C$49,,0)</f>
        <v>D</v>
      </c>
      <c r="K685" s="5">
        <f>_xlfn.XLOOKUP(D685,products!$A$1:$A$49,products!$D$1:$D$49,,0)</f>
        <v>0.5</v>
      </c>
      <c r="L685" s="7">
        <f>_xlfn.XLOOKUP(D685,products!$A$1:$A$49,products!$E$1:$E$49,,0)</f>
        <v>7.77</v>
      </c>
      <c r="M685" s="7">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IF(_xlfn.XLOOKUP(F686,customers!$B$1:$B$1001,customers!$C$1:$C$1001,,0)=0,"",_xlfn.XLOOKUP(F686,customers!$B$1:$B$1001,customers!$C$1:$C$1001,,0))</f>
        <v/>
      </c>
      <c r="H686" s="2" t="str">
        <f>_xlfn.XLOOKUP(C686,customers!$A$1:$A$1001,customers!$G$1:$G$1001,,0)</f>
        <v>United States</v>
      </c>
      <c r="I686" t="str">
        <f>_xlfn.XLOOKUP(D686,products!$A$1:$A$49,products!$B$1:$B$49,,0)</f>
        <v>Rob</v>
      </c>
      <c r="J686" t="str">
        <f>_xlfn.XLOOKUP(D686,products!$A$1:$A$49,products!$C$1:$C$49,,0)</f>
        <v>L</v>
      </c>
      <c r="K686" s="5">
        <f>_xlfn.XLOOKUP(D686,products!$A$1:$A$49,products!$D$1:$D$49,,0)</f>
        <v>1</v>
      </c>
      <c r="L686" s="7">
        <f>_xlfn.XLOOKUP(D686,products!$A$1:$A$49,products!$E$1:$E$49,,0)</f>
        <v>11.95</v>
      </c>
      <c r="M686" s="7">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IF(_xlfn.XLOOKUP(F687,customers!$B$1:$B$1001,customers!$C$1:$C$1001,,0)=0,"",_xlfn.XLOOKUP(F687,customers!$B$1:$B$1001,customers!$C$1:$C$1001,,0))</f>
        <v>jdruittj1@feedburner.com</v>
      </c>
      <c r="H687" s="2" t="str">
        <f>_xlfn.XLOOKUP(C687,customers!$A$1:$A$1001,customers!$G$1:$G$1001,,0)</f>
        <v>United States</v>
      </c>
      <c r="I687" t="str">
        <f>_xlfn.XLOOKUP(D687,products!$A$1:$A$49,products!$B$1:$B$49,,0)</f>
        <v>Lib</v>
      </c>
      <c r="J687" t="str">
        <f>_xlfn.XLOOKUP(D687,products!$A$1:$A$49,products!$C$1:$C$49,,0)</f>
        <v>L</v>
      </c>
      <c r="K687" s="5">
        <f>_xlfn.XLOOKUP(D687,products!$A$1:$A$49,products!$D$1:$D$49,,0)</f>
        <v>2.5</v>
      </c>
      <c r="L687" s="7">
        <f>_xlfn.XLOOKUP(D687,products!$A$1:$A$49,products!$E$1:$E$49,,0)</f>
        <v>36.454999999999998</v>
      </c>
      <c r="M687" s="7">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IF(_xlfn.XLOOKUP(F688,customers!$B$1:$B$1001,customers!$C$1:$C$1001,,0)=0,"",_xlfn.XLOOKUP(F688,customers!$B$1:$B$1001,customers!$C$1:$C$1001,,0))</f>
        <v>dshortallj2@wikipedia.org</v>
      </c>
      <c r="H688" s="2" t="str">
        <f>_xlfn.XLOOKUP(C688,customers!$A$1:$A$1001,customers!$G$1:$G$1001,,0)</f>
        <v>United States</v>
      </c>
      <c r="I688" t="str">
        <f>_xlfn.XLOOKUP(D688,products!$A$1:$A$49,products!$B$1:$B$49,,0)</f>
        <v>Rob</v>
      </c>
      <c r="J688" t="str">
        <f>_xlfn.XLOOKUP(D688,products!$A$1:$A$49,products!$C$1:$C$49,,0)</f>
        <v>D</v>
      </c>
      <c r="K688" s="5">
        <f>_xlfn.XLOOKUP(D688,products!$A$1:$A$49,products!$D$1:$D$49,,0)</f>
        <v>0.2</v>
      </c>
      <c r="L688" s="7">
        <f>_xlfn.XLOOKUP(D688,products!$A$1:$A$49,products!$E$1:$E$49,,0)</f>
        <v>2.6849999999999996</v>
      </c>
      <c r="M688" s="7">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IF(_xlfn.XLOOKUP(F689,customers!$B$1:$B$1001,customers!$C$1:$C$1001,,0)=0,"",_xlfn.XLOOKUP(F689,customers!$B$1:$B$1001,customers!$C$1:$C$1001,,0))</f>
        <v>wcottierj3@cafepress.com</v>
      </c>
      <c r="H689" s="2" t="str">
        <f>_xlfn.XLOOKUP(C689,customers!$A$1:$A$1001,customers!$G$1:$G$1001,,0)</f>
        <v>United States</v>
      </c>
      <c r="I689" t="str">
        <f>_xlfn.XLOOKUP(D689,products!$A$1:$A$49,products!$B$1:$B$49,,0)</f>
        <v>Exc</v>
      </c>
      <c r="J689" t="str">
        <f>_xlfn.XLOOKUP(D689,products!$A$1:$A$49,products!$C$1:$C$49,,0)</f>
        <v>M</v>
      </c>
      <c r="K689" s="5">
        <f>_xlfn.XLOOKUP(D689,products!$A$1:$A$49,products!$D$1:$D$49,,0)</f>
        <v>0.5</v>
      </c>
      <c r="L689" s="7">
        <f>_xlfn.XLOOKUP(D689,products!$A$1:$A$49,products!$E$1:$E$49,,0)</f>
        <v>8.25</v>
      </c>
      <c r="M689" s="7">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IF(_xlfn.XLOOKUP(F690,customers!$B$1:$B$1001,customers!$C$1:$C$1001,,0)=0,"",_xlfn.XLOOKUP(F690,customers!$B$1:$B$1001,customers!$C$1:$C$1001,,0))</f>
        <v>kgrinstedj4@google.com.br</v>
      </c>
      <c r="H690" s="2" t="str">
        <f>_xlfn.XLOOKUP(C690,customers!$A$1:$A$1001,customers!$G$1:$G$1001,,0)</f>
        <v>Ireland</v>
      </c>
      <c r="I690" t="str">
        <f>_xlfn.XLOOKUP(D690,products!$A$1:$A$49,products!$B$1:$B$49,,0)</f>
        <v>Ara</v>
      </c>
      <c r="J690" t="str">
        <f>_xlfn.XLOOKUP(D690,products!$A$1:$A$49,products!$C$1:$C$49,,0)</f>
        <v>L</v>
      </c>
      <c r="K690" s="5">
        <f>_xlfn.XLOOKUP(D690,products!$A$1:$A$49,products!$D$1:$D$49,,0)</f>
        <v>1</v>
      </c>
      <c r="L690" s="7">
        <f>_xlfn.XLOOKUP(D690,products!$A$1:$A$49,products!$E$1:$E$49,,0)</f>
        <v>12.95</v>
      </c>
      <c r="M690" s="7">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IF(_xlfn.XLOOKUP(F691,customers!$B$1:$B$1001,customers!$C$1:$C$1001,,0)=0,"",_xlfn.XLOOKUP(F691,customers!$B$1:$B$1001,customers!$C$1:$C$1001,,0))</f>
        <v>dskynerj5@hubpages.com</v>
      </c>
      <c r="H691" s="2" t="str">
        <f>_xlfn.XLOOKUP(C691,customers!$A$1:$A$1001,customers!$G$1:$G$1001,,0)</f>
        <v>United States</v>
      </c>
      <c r="I691" t="str">
        <f>_xlfn.XLOOKUP(D691,products!$A$1:$A$49,products!$B$1:$B$49,,0)</f>
        <v>Ara</v>
      </c>
      <c r="J691" t="str">
        <f>_xlfn.XLOOKUP(D691,products!$A$1:$A$49,products!$C$1:$C$49,,0)</f>
        <v>M</v>
      </c>
      <c r="K691" s="5">
        <f>_xlfn.XLOOKUP(D691,products!$A$1:$A$49,products!$D$1:$D$49,,0)</f>
        <v>0.5</v>
      </c>
      <c r="L691" s="7">
        <f>_xlfn.XLOOKUP(D691,products!$A$1:$A$49,products!$E$1:$E$49,,0)</f>
        <v>6.75</v>
      </c>
      <c r="M691" s="7">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IF(_xlfn.XLOOKUP(F692,customers!$B$1:$B$1001,customers!$C$1:$C$1001,,0)=0,"",_xlfn.XLOOKUP(F692,customers!$B$1:$B$1001,customers!$C$1:$C$1001,,0))</f>
        <v/>
      </c>
      <c r="H692" s="2" t="str">
        <f>_xlfn.XLOOKUP(C692,customers!$A$1:$A$1001,customers!$G$1:$G$1001,,0)</f>
        <v>United States</v>
      </c>
      <c r="I692" t="str">
        <f>_xlfn.XLOOKUP(D692,products!$A$1:$A$49,products!$B$1:$B$49,,0)</f>
        <v>Lib</v>
      </c>
      <c r="J692" t="str">
        <f>_xlfn.XLOOKUP(D692,products!$A$1:$A$49,products!$C$1:$C$49,,0)</f>
        <v>D</v>
      </c>
      <c r="K692" s="5">
        <f>_xlfn.XLOOKUP(D692,products!$A$1:$A$49,products!$D$1:$D$49,,0)</f>
        <v>2.5</v>
      </c>
      <c r="L692" s="7">
        <f>_xlfn.XLOOKUP(D692,products!$A$1:$A$49,products!$E$1:$E$49,,0)</f>
        <v>29.784999999999997</v>
      </c>
      <c r="M692" s="7">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IF(_xlfn.XLOOKUP(F693,customers!$B$1:$B$1001,customers!$C$1:$C$1001,,0)=0,"",_xlfn.XLOOKUP(F693,customers!$B$1:$B$1001,customers!$C$1:$C$1001,,0))</f>
        <v>jdymokeje@prnewswire.com</v>
      </c>
      <c r="H693" s="2" t="str">
        <f>_xlfn.XLOOKUP(C693,customers!$A$1:$A$1001,customers!$G$1:$G$1001,,0)</f>
        <v>Ireland</v>
      </c>
      <c r="I693" t="str">
        <f>_xlfn.XLOOKUP(D693,products!$A$1:$A$49,products!$B$1:$B$49,,0)</f>
        <v>Ara</v>
      </c>
      <c r="J693" t="str">
        <f>_xlfn.XLOOKUP(D693,products!$A$1:$A$49,products!$C$1:$C$49,,0)</f>
        <v>M</v>
      </c>
      <c r="K693" s="5">
        <f>_xlfn.XLOOKUP(D693,products!$A$1:$A$49,products!$D$1:$D$49,,0)</f>
        <v>1</v>
      </c>
      <c r="L693" s="7">
        <f>_xlfn.XLOOKUP(D693,products!$A$1:$A$49,products!$E$1:$E$49,,0)</f>
        <v>11.25</v>
      </c>
      <c r="M693" s="7">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IF(_xlfn.XLOOKUP(F694,customers!$B$1:$B$1001,customers!$C$1:$C$1001,,0)=0,"",_xlfn.XLOOKUP(F694,customers!$B$1:$B$1001,customers!$C$1:$C$1001,,0))</f>
        <v>aweinmannj8@shinystat.com</v>
      </c>
      <c r="H694" s="2" t="str">
        <f>_xlfn.XLOOKUP(C694,customers!$A$1:$A$1001,customers!$G$1:$G$1001,,0)</f>
        <v>United States</v>
      </c>
      <c r="I694" t="str">
        <f>_xlfn.XLOOKUP(D694,products!$A$1:$A$49,products!$B$1:$B$49,,0)</f>
        <v>Lib</v>
      </c>
      <c r="J694" t="str">
        <f>_xlfn.XLOOKUP(D694,products!$A$1:$A$49,products!$C$1:$C$49,,0)</f>
        <v>D</v>
      </c>
      <c r="K694" s="5">
        <f>_xlfn.XLOOKUP(D694,products!$A$1:$A$49,products!$D$1:$D$49,,0)</f>
        <v>1</v>
      </c>
      <c r="L694" s="7">
        <f>_xlfn.XLOOKUP(D694,products!$A$1:$A$49,products!$E$1:$E$49,,0)</f>
        <v>12.95</v>
      </c>
      <c r="M694" s="7">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IF(_xlfn.XLOOKUP(F695,customers!$B$1:$B$1001,customers!$C$1:$C$1001,,0)=0,"",_xlfn.XLOOKUP(F695,customers!$B$1:$B$1001,customers!$C$1:$C$1001,,0))</f>
        <v>eandriessenj9@europa.eu</v>
      </c>
      <c r="H695" s="2" t="str">
        <f>_xlfn.XLOOKUP(C695,customers!$A$1:$A$1001,customers!$G$1:$G$1001,,0)</f>
        <v>United States</v>
      </c>
      <c r="I695" t="str">
        <f>_xlfn.XLOOKUP(D695,products!$A$1:$A$49,products!$B$1:$B$49,,0)</f>
        <v>Ara</v>
      </c>
      <c r="J695" t="str">
        <f>_xlfn.XLOOKUP(D695,products!$A$1:$A$49,products!$C$1:$C$49,,0)</f>
        <v>M</v>
      </c>
      <c r="K695" s="5">
        <f>_xlfn.XLOOKUP(D695,products!$A$1:$A$49,products!$D$1:$D$49,,0)</f>
        <v>2.5</v>
      </c>
      <c r="L695" s="7">
        <f>_xlfn.XLOOKUP(D695,products!$A$1:$A$49,products!$E$1:$E$49,,0)</f>
        <v>25.874999999999996</v>
      </c>
      <c r="M695" s="7">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IF(_xlfn.XLOOKUP(F696,customers!$B$1:$B$1001,customers!$C$1:$C$1001,,0)=0,"",_xlfn.XLOOKUP(F696,customers!$B$1:$B$1001,customers!$C$1:$C$1001,,0))</f>
        <v>rdeaconsonja@archive.org</v>
      </c>
      <c r="H696" s="2" t="str">
        <f>_xlfn.XLOOKUP(C696,customers!$A$1:$A$1001,customers!$G$1:$G$1001,,0)</f>
        <v>United States</v>
      </c>
      <c r="I696" t="str">
        <f>_xlfn.XLOOKUP(D696,products!$A$1:$A$49,products!$B$1:$B$49,,0)</f>
        <v>Exc</v>
      </c>
      <c r="J696" t="str">
        <f>_xlfn.XLOOKUP(D696,products!$A$1:$A$49,products!$C$1:$C$49,,0)</f>
        <v>D</v>
      </c>
      <c r="K696" s="5">
        <f>_xlfn.XLOOKUP(D696,products!$A$1:$A$49,products!$D$1:$D$49,,0)</f>
        <v>0.5</v>
      </c>
      <c r="L696" s="7">
        <f>_xlfn.XLOOKUP(D696,products!$A$1:$A$49,products!$E$1:$E$49,,0)</f>
        <v>7.29</v>
      </c>
      <c r="M696" s="7">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IF(_xlfn.XLOOKUP(F697,customers!$B$1:$B$1001,customers!$C$1:$C$1001,,0)=0,"",_xlfn.XLOOKUP(F697,customers!$B$1:$B$1001,customers!$C$1:$C$1001,,0))</f>
        <v>dcarojb@twitter.com</v>
      </c>
      <c r="H697" s="2" t="str">
        <f>_xlfn.XLOOKUP(C697,customers!$A$1:$A$1001,customers!$G$1:$G$1001,,0)</f>
        <v>United States</v>
      </c>
      <c r="I697" t="str">
        <f>_xlfn.XLOOKUP(D697,products!$A$1:$A$49,products!$B$1:$B$49,,0)</f>
        <v>Lib</v>
      </c>
      <c r="J697" t="str">
        <f>_xlfn.XLOOKUP(D697,products!$A$1:$A$49,products!$C$1:$C$49,,0)</f>
        <v>L</v>
      </c>
      <c r="K697" s="5">
        <f>_xlfn.XLOOKUP(D697,products!$A$1:$A$49,products!$D$1:$D$49,,0)</f>
        <v>2.5</v>
      </c>
      <c r="L697" s="7">
        <f>_xlfn.XLOOKUP(D697,products!$A$1:$A$49,products!$E$1:$E$49,,0)</f>
        <v>36.454999999999998</v>
      </c>
      <c r="M697" s="7">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IF(_xlfn.XLOOKUP(F698,customers!$B$1:$B$1001,customers!$C$1:$C$1001,,0)=0,"",_xlfn.XLOOKUP(F698,customers!$B$1:$B$1001,customers!$C$1:$C$1001,,0))</f>
        <v>jbluckjc@imageshack.us</v>
      </c>
      <c r="H698" s="2" t="str">
        <f>_xlfn.XLOOKUP(C698,customers!$A$1:$A$1001,customers!$G$1:$G$1001,,0)</f>
        <v>United States</v>
      </c>
      <c r="I698" t="str">
        <f>_xlfn.XLOOKUP(D698,products!$A$1:$A$49,products!$B$1:$B$49,,0)</f>
        <v>Lib</v>
      </c>
      <c r="J698" t="str">
        <f>_xlfn.XLOOKUP(D698,products!$A$1:$A$49,products!$C$1:$C$49,,0)</f>
        <v>D</v>
      </c>
      <c r="K698" s="5">
        <f>_xlfn.XLOOKUP(D698,products!$A$1:$A$49,products!$D$1:$D$49,,0)</f>
        <v>0.5</v>
      </c>
      <c r="L698" s="7">
        <f>_xlfn.XLOOKUP(D698,products!$A$1:$A$49,products!$E$1:$E$49,,0)</f>
        <v>7.77</v>
      </c>
      <c r="M698" s="7">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IF(_xlfn.XLOOKUP(F699,customers!$B$1:$B$1001,customers!$C$1:$C$1001,,0)=0,"",_xlfn.XLOOKUP(F699,customers!$B$1:$B$1001,customers!$C$1:$C$1001,,0))</f>
        <v/>
      </c>
      <c r="H699" s="2" t="str">
        <f>_xlfn.XLOOKUP(C699,customers!$A$1:$A$1001,customers!$G$1:$G$1001,,0)</f>
        <v>Ireland</v>
      </c>
      <c r="I699" t="str">
        <f>_xlfn.XLOOKUP(D699,products!$A$1:$A$49,products!$B$1:$B$49,,0)</f>
        <v>Ara</v>
      </c>
      <c r="J699" t="str">
        <f>_xlfn.XLOOKUP(D699,products!$A$1:$A$49,products!$C$1:$C$49,,0)</f>
        <v>M</v>
      </c>
      <c r="K699" s="5">
        <f>_xlfn.XLOOKUP(D699,products!$A$1:$A$49,products!$D$1:$D$49,,0)</f>
        <v>0.5</v>
      </c>
      <c r="L699" s="7">
        <f>_xlfn.XLOOKUP(D699,products!$A$1:$A$49,products!$E$1:$E$49,,0)</f>
        <v>6.75</v>
      </c>
      <c r="M699" s="7">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IF(_xlfn.XLOOKUP(F700,customers!$B$1:$B$1001,customers!$C$1:$C$1001,,0)=0,"",_xlfn.XLOOKUP(F700,customers!$B$1:$B$1001,customers!$C$1:$C$1001,,0))</f>
        <v>jdymokeje@prnewswire.com</v>
      </c>
      <c r="H700" s="2" t="str">
        <f>_xlfn.XLOOKUP(C700,customers!$A$1:$A$1001,customers!$G$1:$G$1001,,0)</f>
        <v>Ireland</v>
      </c>
      <c r="I700" t="str">
        <f>_xlfn.XLOOKUP(D700,products!$A$1:$A$49,products!$B$1:$B$49,,0)</f>
        <v>Lib</v>
      </c>
      <c r="J700" t="str">
        <f>_xlfn.XLOOKUP(D700,products!$A$1:$A$49,products!$C$1:$C$49,,0)</f>
        <v>D</v>
      </c>
      <c r="K700" s="5">
        <f>_xlfn.XLOOKUP(D700,products!$A$1:$A$49,products!$D$1:$D$49,,0)</f>
        <v>1</v>
      </c>
      <c r="L700" s="7">
        <f>_xlfn.XLOOKUP(D700,products!$A$1:$A$49,products!$E$1:$E$49,,0)</f>
        <v>12.95</v>
      </c>
      <c r="M700" s="7">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IF(_xlfn.XLOOKUP(F701,customers!$B$1:$B$1001,customers!$C$1:$C$1001,,0)=0,"",_xlfn.XLOOKUP(F701,customers!$B$1:$B$1001,customers!$C$1:$C$1001,,0))</f>
        <v>otadmanjf@ft.com</v>
      </c>
      <c r="H701" s="2" t="str">
        <f>_xlfn.XLOOKUP(C701,customers!$A$1:$A$1001,customers!$G$1:$G$1001,,0)</f>
        <v>United States</v>
      </c>
      <c r="I701" t="str">
        <f>_xlfn.XLOOKUP(D701,products!$A$1:$A$49,products!$B$1:$B$49,,0)</f>
        <v>Ara</v>
      </c>
      <c r="J701" t="str">
        <f>_xlfn.XLOOKUP(D701,products!$A$1:$A$49,products!$C$1:$C$49,,0)</f>
        <v>D</v>
      </c>
      <c r="K701" s="5">
        <f>_xlfn.XLOOKUP(D701,products!$A$1:$A$49,products!$D$1:$D$49,,0)</f>
        <v>0.5</v>
      </c>
      <c r="L701" s="7">
        <f>_xlfn.XLOOKUP(D701,products!$A$1:$A$49,products!$E$1:$E$49,,0)</f>
        <v>5.97</v>
      </c>
      <c r="M701" s="7">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IF(_xlfn.XLOOKUP(F702,customers!$B$1:$B$1001,customers!$C$1:$C$1001,,0)=0,"",_xlfn.XLOOKUP(F702,customers!$B$1:$B$1001,customers!$C$1:$C$1001,,0))</f>
        <v>bguddejg@dailymotion.com</v>
      </c>
      <c r="H702" s="2" t="str">
        <f>_xlfn.XLOOKUP(C702,customers!$A$1:$A$1001,customers!$G$1:$G$1001,,0)</f>
        <v>United States</v>
      </c>
      <c r="I702" t="str">
        <f>_xlfn.XLOOKUP(D702,products!$A$1:$A$49,products!$B$1:$B$49,,0)</f>
        <v>Lib</v>
      </c>
      <c r="J702" t="str">
        <f>_xlfn.XLOOKUP(D702,products!$A$1:$A$49,products!$C$1:$C$49,,0)</f>
        <v>L</v>
      </c>
      <c r="K702" s="5">
        <f>_xlfn.XLOOKUP(D702,products!$A$1:$A$49,products!$D$1:$D$49,,0)</f>
        <v>0.5</v>
      </c>
      <c r="L702" s="7">
        <f>_xlfn.XLOOKUP(D702,products!$A$1:$A$49,products!$E$1:$E$49,,0)</f>
        <v>9.51</v>
      </c>
      <c r="M702" s="7">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IF(_xlfn.XLOOKUP(F703,customers!$B$1:$B$1001,customers!$C$1:$C$1001,,0)=0,"",_xlfn.XLOOKUP(F703,customers!$B$1:$B$1001,customers!$C$1:$C$1001,,0))</f>
        <v>nsictornesjh@buzzfeed.com</v>
      </c>
      <c r="H703" s="2" t="str">
        <f>_xlfn.XLOOKUP(C703,customers!$A$1:$A$1001,customers!$G$1:$G$1001,,0)</f>
        <v>Ireland</v>
      </c>
      <c r="I703" t="str">
        <f>_xlfn.XLOOKUP(D703,products!$A$1:$A$49,products!$B$1:$B$49,,0)</f>
        <v>Ara</v>
      </c>
      <c r="J703" t="str">
        <f>_xlfn.XLOOKUP(D703,products!$A$1:$A$49,products!$C$1:$C$49,,0)</f>
        <v>D</v>
      </c>
      <c r="K703" s="5">
        <f>_xlfn.XLOOKUP(D703,products!$A$1:$A$49,products!$D$1:$D$49,,0)</f>
        <v>0.5</v>
      </c>
      <c r="L703" s="7">
        <f>_xlfn.XLOOKUP(D703,products!$A$1:$A$49,products!$E$1:$E$49,,0)</f>
        <v>5.97</v>
      </c>
      <c r="M703" s="7">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IF(_xlfn.XLOOKUP(F704,customers!$B$1:$B$1001,customers!$C$1:$C$1001,,0)=0,"",_xlfn.XLOOKUP(F704,customers!$B$1:$B$1001,customers!$C$1:$C$1001,,0))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5">
        <f>_xlfn.XLOOKUP(D704,products!$A$1:$A$49,products!$D$1:$D$49,,0)</f>
        <v>0.5</v>
      </c>
      <c r="L704" s="7">
        <f>_xlfn.XLOOKUP(D704,products!$A$1:$A$49,products!$E$1:$E$49,,0)</f>
        <v>7.77</v>
      </c>
      <c r="M704" s="7">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IF(_xlfn.XLOOKUP(F705,customers!$B$1:$B$1001,customers!$C$1:$C$1001,,0)=0,"",_xlfn.XLOOKUP(F705,customers!$B$1:$B$1001,customers!$C$1:$C$1001,,0))</f>
        <v/>
      </c>
      <c r="H705" s="2" t="str">
        <f>_xlfn.XLOOKUP(C705,customers!$A$1:$A$1001,customers!$G$1:$G$1001,,0)</f>
        <v>Ireland</v>
      </c>
      <c r="I705" t="str">
        <f>_xlfn.XLOOKUP(D705,products!$A$1:$A$49,products!$B$1:$B$49,,0)</f>
        <v>Lib</v>
      </c>
      <c r="J705" t="str">
        <f>_xlfn.XLOOKUP(D705,products!$A$1:$A$49,products!$C$1:$C$49,,0)</f>
        <v>D</v>
      </c>
      <c r="K705" s="5">
        <f>_xlfn.XLOOKUP(D705,products!$A$1:$A$49,products!$D$1:$D$49,,0)</f>
        <v>2.5</v>
      </c>
      <c r="L705" s="7">
        <f>_xlfn.XLOOKUP(D705,products!$A$1:$A$49,products!$E$1:$E$49,,0)</f>
        <v>29.784999999999997</v>
      </c>
      <c r="M705" s="7">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IF(_xlfn.XLOOKUP(F706,customers!$B$1:$B$1001,customers!$C$1:$C$1001,,0)=0,"",_xlfn.XLOOKUP(F706,customers!$B$1:$B$1001,customers!$C$1:$C$1001,,0))</f>
        <v/>
      </c>
      <c r="H706" s="2" t="str">
        <f>_xlfn.XLOOKUP(C706,customers!$A$1:$A$1001,customers!$G$1:$G$1001,,0)</f>
        <v>United States</v>
      </c>
      <c r="I706" t="str">
        <f>_xlfn.XLOOKUP(D706,products!$A$1:$A$49,products!$B$1:$B$49,,0)</f>
        <v>Exc</v>
      </c>
      <c r="J706" t="str">
        <f>_xlfn.XLOOKUP(D706,products!$A$1:$A$49,products!$C$1:$C$49,,0)</f>
        <v>D</v>
      </c>
      <c r="K706" s="5">
        <f>_xlfn.XLOOKUP(D706,products!$A$1:$A$49,products!$D$1:$D$49,,0)</f>
        <v>0.2</v>
      </c>
      <c r="L706" s="7">
        <f>_xlfn.XLOOKUP(D706,products!$A$1:$A$49,products!$E$1:$E$49,,0)</f>
        <v>3.645</v>
      </c>
      <c r="M706" s="7">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IF(_xlfn.XLOOKUP(F707,customers!$B$1:$B$1001,customers!$C$1:$C$1001,,0)=0,"",_xlfn.XLOOKUP(F707,customers!$B$1:$B$1001,customers!$C$1:$C$1001,,0))</f>
        <v>sgehringjl@gnu.org</v>
      </c>
      <c r="H707" s="2" t="str">
        <f>_xlfn.XLOOKUP(C707,customers!$A$1:$A$1001,customers!$G$1:$G$1001,,0)</f>
        <v>United States</v>
      </c>
      <c r="I707" t="str">
        <f>_xlfn.XLOOKUP(D707,products!$A$1:$A$49,products!$B$1:$B$49,,0)</f>
        <v>Exc</v>
      </c>
      <c r="J707" t="str">
        <f>_xlfn.XLOOKUP(D707,products!$A$1:$A$49,products!$C$1:$C$49,,0)</f>
        <v>L</v>
      </c>
      <c r="K707" s="5">
        <f>_xlfn.XLOOKUP(D707,products!$A$1:$A$49,products!$D$1:$D$49,,0)</f>
        <v>0.5</v>
      </c>
      <c r="L707" s="7">
        <f>_xlfn.XLOOKUP(D707,products!$A$1:$A$49,products!$E$1:$E$49,,0)</f>
        <v>8.91</v>
      </c>
      <c r="M707" s="7">
        <f t="shared" ref="M707:M770" si="33">(L707*E707)</f>
        <v>17.82</v>
      </c>
      <c r="N707" t="str">
        <f t="shared" ref="N707:N770" si="34">IF(I707="Rob","Robusta", 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IF(_xlfn.XLOOKUP(F708,customers!$B$1:$B$1001,customers!$C$1:$C$1001,,0)=0,"",_xlfn.XLOOKUP(F708,customers!$B$1:$B$1001,customers!$C$1:$C$1001,,0))</f>
        <v>bfallowesjm@purevolume.com</v>
      </c>
      <c r="H708" s="2" t="str">
        <f>_xlfn.XLOOKUP(C708,customers!$A$1:$A$1001,customers!$G$1:$G$1001,,0)</f>
        <v>United States</v>
      </c>
      <c r="I708" t="str">
        <f>_xlfn.XLOOKUP(D708,products!$A$1:$A$49,products!$B$1:$B$49,,0)</f>
        <v>Exc</v>
      </c>
      <c r="J708" t="str">
        <f>_xlfn.XLOOKUP(D708,products!$A$1:$A$49,products!$C$1:$C$49,,0)</f>
        <v>M</v>
      </c>
      <c r="K708" s="5">
        <f>_xlfn.XLOOKUP(D708,products!$A$1:$A$49,products!$D$1:$D$49,,0)</f>
        <v>0.2</v>
      </c>
      <c r="L708" s="7">
        <f>_xlfn.XLOOKUP(D708,products!$A$1:$A$49,products!$E$1:$E$49,,0)</f>
        <v>4.125</v>
      </c>
      <c r="M708" s="7">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IF(_xlfn.XLOOKUP(F709,customers!$B$1:$B$1001,customers!$C$1:$C$1001,,0)=0,"",_xlfn.XLOOKUP(F709,customers!$B$1:$B$1001,customers!$C$1:$C$1001,,0))</f>
        <v/>
      </c>
      <c r="H709" s="2" t="str">
        <f>_xlfn.XLOOKUP(C709,customers!$A$1:$A$1001,customers!$G$1:$G$1001,,0)</f>
        <v>Ireland</v>
      </c>
      <c r="I709" t="str">
        <f>_xlfn.XLOOKUP(D709,products!$A$1:$A$49,products!$B$1:$B$49,,0)</f>
        <v>Lib</v>
      </c>
      <c r="J709" t="str">
        <f>_xlfn.XLOOKUP(D709,products!$A$1:$A$49,products!$C$1:$C$49,,0)</f>
        <v>D</v>
      </c>
      <c r="K709" s="5">
        <f>_xlfn.XLOOKUP(D709,products!$A$1:$A$49,products!$D$1:$D$49,,0)</f>
        <v>1</v>
      </c>
      <c r="L709" s="7">
        <f>_xlfn.XLOOKUP(D709,products!$A$1:$A$49,products!$E$1:$E$49,,0)</f>
        <v>12.95</v>
      </c>
      <c r="M709" s="7">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IF(_xlfn.XLOOKUP(F710,customers!$B$1:$B$1001,customers!$C$1:$C$1001,,0)=0,"",_xlfn.XLOOKUP(F710,customers!$B$1:$B$1001,customers!$C$1:$C$1001,,0))</f>
        <v>sdejo@newsvine.com</v>
      </c>
      <c r="H710" s="2" t="str">
        <f>_xlfn.XLOOKUP(C710,customers!$A$1:$A$1001,customers!$G$1:$G$1001,,0)</f>
        <v>United States</v>
      </c>
      <c r="I710" t="str">
        <f>_xlfn.XLOOKUP(D710,products!$A$1:$A$49,products!$B$1:$B$49,,0)</f>
        <v>Ara</v>
      </c>
      <c r="J710" t="str">
        <f>_xlfn.XLOOKUP(D710,products!$A$1:$A$49,products!$C$1:$C$49,,0)</f>
        <v>M</v>
      </c>
      <c r="K710" s="5">
        <f>_xlfn.XLOOKUP(D710,products!$A$1:$A$49,products!$D$1:$D$49,,0)</f>
        <v>0.5</v>
      </c>
      <c r="L710" s="7">
        <f>_xlfn.XLOOKUP(D710,products!$A$1:$A$49,products!$E$1:$E$49,,0)</f>
        <v>6.75</v>
      </c>
      <c r="M710" s="7">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IF(_xlfn.XLOOKUP(F711,customers!$B$1:$B$1001,customers!$C$1:$C$1001,,0)=0,"",_xlfn.XLOOKUP(F711,customers!$B$1:$B$1001,customers!$C$1:$C$1001,,0))</f>
        <v/>
      </c>
      <c r="H711" s="2" t="str">
        <f>_xlfn.XLOOKUP(C711,customers!$A$1:$A$1001,customers!$G$1:$G$1001,,0)</f>
        <v>United States</v>
      </c>
      <c r="I711" t="str">
        <f>_xlfn.XLOOKUP(D711,products!$A$1:$A$49,products!$B$1:$B$49,,0)</f>
        <v>Exc</v>
      </c>
      <c r="J711" t="str">
        <f>_xlfn.XLOOKUP(D711,products!$A$1:$A$49,products!$C$1:$C$49,,0)</f>
        <v>L</v>
      </c>
      <c r="K711" s="5">
        <f>_xlfn.XLOOKUP(D711,products!$A$1:$A$49,products!$D$1:$D$49,,0)</f>
        <v>0.5</v>
      </c>
      <c r="L711" s="7">
        <f>_xlfn.XLOOKUP(D711,products!$A$1:$A$49,products!$E$1:$E$49,,0)</f>
        <v>8.91</v>
      </c>
      <c r="M711" s="7">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IF(_xlfn.XLOOKUP(F712,customers!$B$1:$B$1001,customers!$C$1:$C$1001,,0)=0,"",_xlfn.XLOOKUP(F712,customers!$B$1:$B$1001,customers!$C$1:$C$1001,,0))</f>
        <v>scountjq@nba.com</v>
      </c>
      <c r="H712" s="2" t="str">
        <f>_xlfn.XLOOKUP(C712,customers!$A$1:$A$1001,customers!$G$1:$G$1001,,0)</f>
        <v>United States</v>
      </c>
      <c r="I712" t="str">
        <f>_xlfn.XLOOKUP(D712,products!$A$1:$A$49,products!$B$1:$B$49,,0)</f>
        <v>Exc</v>
      </c>
      <c r="J712" t="str">
        <f>_xlfn.XLOOKUP(D712,products!$A$1:$A$49,products!$C$1:$C$49,,0)</f>
        <v>M</v>
      </c>
      <c r="K712" s="5">
        <f>_xlfn.XLOOKUP(D712,products!$A$1:$A$49,products!$D$1:$D$49,,0)</f>
        <v>0.5</v>
      </c>
      <c r="L712" s="7">
        <f>_xlfn.XLOOKUP(D712,products!$A$1:$A$49,products!$E$1:$E$49,,0)</f>
        <v>8.25</v>
      </c>
      <c r="M712" s="7">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IF(_xlfn.XLOOKUP(F713,customers!$B$1:$B$1001,customers!$C$1:$C$1001,,0)=0,"",_xlfn.XLOOKUP(F713,customers!$B$1:$B$1001,customers!$C$1:$C$1001,,0))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5">
        <f>_xlfn.XLOOKUP(D713,products!$A$1:$A$49,products!$D$1:$D$49,,0)</f>
        <v>0.2</v>
      </c>
      <c r="L713" s="7">
        <f>_xlfn.XLOOKUP(D713,products!$A$1:$A$49,products!$E$1:$E$49,,0)</f>
        <v>2.9849999999999999</v>
      </c>
      <c r="M713" s="7">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IF(_xlfn.XLOOKUP(F714,customers!$B$1:$B$1001,customers!$C$1:$C$1001,,0)=0,"",_xlfn.XLOOKUP(F714,customers!$B$1:$B$1001,customers!$C$1:$C$1001,,0))</f>
        <v/>
      </c>
      <c r="H714" s="2" t="str">
        <f>_xlfn.XLOOKUP(C714,customers!$A$1:$A$1001,customers!$G$1:$G$1001,,0)</f>
        <v>United Kingdom</v>
      </c>
      <c r="I714" t="str">
        <f>_xlfn.XLOOKUP(D714,products!$A$1:$A$49,products!$B$1:$B$49,,0)</f>
        <v>Exc</v>
      </c>
      <c r="J714" t="str">
        <f>_xlfn.XLOOKUP(D714,products!$A$1:$A$49,products!$C$1:$C$49,,0)</f>
        <v>M</v>
      </c>
      <c r="K714" s="5">
        <f>_xlfn.XLOOKUP(D714,products!$A$1:$A$49,products!$D$1:$D$49,,0)</f>
        <v>0.5</v>
      </c>
      <c r="L714" s="7">
        <f>_xlfn.XLOOKUP(D714,products!$A$1:$A$49,products!$E$1:$E$49,,0)</f>
        <v>8.25</v>
      </c>
      <c r="M714" s="7">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IF(_xlfn.XLOOKUP(F715,customers!$B$1:$B$1001,customers!$C$1:$C$1001,,0)=0,"",_xlfn.XLOOKUP(F715,customers!$B$1:$B$1001,customers!$C$1:$C$1001,,0))</f>
        <v>sbruunjt@blogtalkradio.com</v>
      </c>
      <c r="H715" s="2" t="str">
        <f>_xlfn.XLOOKUP(C715,customers!$A$1:$A$1001,customers!$G$1:$G$1001,,0)</f>
        <v>United States</v>
      </c>
      <c r="I715" t="str">
        <f>_xlfn.XLOOKUP(D715,products!$A$1:$A$49,products!$B$1:$B$49,,0)</f>
        <v>Rob</v>
      </c>
      <c r="J715" t="str">
        <f>_xlfn.XLOOKUP(D715,products!$A$1:$A$49,products!$C$1:$C$49,,0)</f>
        <v>M</v>
      </c>
      <c r="K715" s="5">
        <f>_xlfn.XLOOKUP(D715,products!$A$1:$A$49,products!$D$1:$D$49,,0)</f>
        <v>0.2</v>
      </c>
      <c r="L715" s="7">
        <f>_xlfn.XLOOKUP(D715,products!$A$1:$A$49,products!$E$1:$E$49,,0)</f>
        <v>2.9849999999999999</v>
      </c>
      <c r="M715" s="7">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IF(_xlfn.XLOOKUP(F716,customers!$B$1:$B$1001,customers!$C$1:$C$1001,,0)=0,"",_xlfn.XLOOKUP(F716,customers!$B$1:$B$1001,customers!$C$1:$C$1001,,0))</f>
        <v>aplluju@dagondesign.com</v>
      </c>
      <c r="H716" s="2" t="str">
        <f>_xlfn.XLOOKUP(C716,customers!$A$1:$A$1001,customers!$G$1:$G$1001,,0)</f>
        <v>Ireland</v>
      </c>
      <c r="I716" t="str">
        <f>_xlfn.XLOOKUP(D716,products!$A$1:$A$49,products!$B$1:$B$49,,0)</f>
        <v>Exc</v>
      </c>
      <c r="J716" t="str">
        <f>_xlfn.XLOOKUP(D716,products!$A$1:$A$49,products!$C$1:$C$49,,0)</f>
        <v>D</v>
      </c>
      <c r="K716" s="5">
        <f>_xlfn.XLOOKUP(D716,products!$A$1:$A$49,products!$D$1:$D$49,,0)</f>
        <v>0.2</v>
      </c>
      <c r="L716" s="7">
        <f>_xlfn.XLOOKUP(D716,products!$A$1:$A$49,products!$E$1:$E$49,,0)</f>
        <v>3.645</v>
      </c>
      <c r="M716" s="7">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IF(_xlfn.XLOOKUP(F717,customers!$B$1:$B$1001,customers!$C$1:$C$1001,,0)=0,"",_xlfn.XLOOKUP(F717,customers!$B$1:$B$1001,customers!$C$1:$C$1001,,0))</f>
        <v>gcornierjv@techcrunch.com</v>
      </c>
      <c r="H717" s="2" t="str">
        <f>_xlfn.XLOOKUP(C717,customers!$A$1:$A$1001,customers!$G$1:$G$1001,,0)</f>
        <v>United States</v>
      </c>
      <c r="I717" t="str">
        <f>_xlfn.XLOOKUP(D717,products!$A$1:$A$49,products!$B$1:$B$49,,0)</f>
        <v>Exc</v>
      </c>
      <c r="J717" t="str">
        <f>_xlfn.XLOOKUP(D717,products!$A$1:$A$49,products!$C$1:$C$49,,0)</f>
        <v>L</v>
      </c>
      <c r="K717" s="5">
        <f>_xlfn.XLOOKUP(D717,products!$A$1:$A$49,products!$D$1:$D$49,,0)</f>
        <v>1</v>
      </c>
      <c r="L717" s="7">
        <f>_xlfn.XLOOKUP(D717,products!$A$1:$A$49,products!$E$1:$E$49,,0)</f>
        <v>14.85</v>
      </c>
      <c r="M717" s="7">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IF(_xlfn.XLOOKUP(F718,customers!$B$1:$B$1001,customers!$C$1:$C$1001,,0)=0,"",_xlfn.XLOOKUP(F718,customers!$B$1:$B$1001,customers!$C$1:$C$1001,,0))</f>
        <v>jdymokeje@prnewswire.com</v>
      </c>
      <c r="H718" s="2" t="str">
        <f>_xlfn.XLOOKUP(C718,customers!$A$1:$A$1001,customers!$G$1:$G$1001,,0)</f>
        <v>Ireland</v>
      </c>
      <c r="I718" t="str">
        <f>_xlfn.XLOOKUP(D718,products!$A$1:$A$49,products!$B$1:$B$49,,0)</f>
        <v>Rob</v>
      </c>
      <c r="J718" t="str">
        <f>_xlfn.XLOOKUP(D718,products!$A$1:$A$49,products!$C$1:$C$49,,0)</f>
        <v>L</v>
      </c>
      <c r="K718" s="5">
        <f>_xlfn.XLOOKUP(D718,products!$A$1:$A$49,products!$D$1:$D$49,,0)</f>
        <v>1</v>
      </c>
      <c r="L718" s="7">
        <f>_xlfn.XLOOKUP(D718,products!$A$1:$A$49,products!$E$1:$E$49,,0)</f>
        <v>11.95</v>
      </c>
      <c r="M718" s="7">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IF(_xlfn.XLOOKUP(F719,customers!$B$1:$B$1001,customers!$C$1:$C$1001,,0)=0,"",_xlfn.XLOOKUP(F719,customers!$B$1:$B$1001,customers!$C$1:$C$1001,,0))</f>
        <v>wharvisonjx@gizmodo.com</v>
      </c>
      <c r="H719" s="2" t="str">
        <f>_xlfn.XLOOKUP(C719,customers!$A$1:$A$1001,customers!$G$1:$G$1001,,0)</f>
        <v>United States</v>
      </c>
      <c r="I719" t="str">
        <f>_xlfn.XLOOKUP(D719,products!$A$1:$A$49,products!$B$1:$B$49,,0)</f>
        <v>Ara</v>
      </c>
      <c r="J719" t="str">
        <f>_xlfn.XLOOKUP(D719,products!$A$1:$A$49,products!$C$1:$C$49,,0)</f>
        <v>D</v>
      </c>
      <c r="K719" s="5">
        <f>_xlfn.XLOOKUP(D719,products!$A$1:$A$49,products!$D$1:$D$49,,0)</f>
        <v>2.5</v>
      </c>
      <c r="L719" s="7">
        <f>_xlfn.XLOOKUP(D719,products!$A$1:$A$49,products!$E$1:$E$49,,0)</f>
        <v>22.884999999999998</v>
      </c>
      <c r="M719" s="7">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IF(_xlfn.XLOOKUP(F720,customers!$B$1:$B$1001,customers!$C$1:$C$1001,,0)=0,"",_xlfn.XLOOKUP(F720,customers!$B$1:$B$1001,customers!$C$1:$C$1001,,0))</f>
        <v>dheafordjy@twitpic.com</v>
      </c>
      <c r="H720" s="2" t="str">
        <f>_xlfn.XLOOKUP(C720,customers!$A$1:$A$1001,customers!$G$1:$G$1001,,0)</f>
        <v>United States</v>
      </c>
      <c r="I720" t="str">
        <f>_xlfn.XLOOKUP(D720,products!$A$1:$A$49,products!$B$1:$B$49,,0)</f>
        <v>Lib</v>
      </c>
      <c r="J720" t="str">
        <f>_xlfn.XLOOKUP(D720,products!$A$1:$A$49,products!$C$1:$C$49,,0)</f>
        <v>D</v>
      </c>
      <c r="K720" s="5">
        <f>_xlfn.XLOOKUP(D720,products!$A$1:$A$49,products!$D$1:$D$49,,0)</f>
        <v>1</v>
      </c>
      <c r="L720" s="7">
        <f>_xlfn.XLOOKUP(D720,products!$A$1:$A$49,products!$E$1:$E$49,,0)</f>
        <v>12.95</v>
      </c>
      <c r="M720" s="7">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IF(_xlfn.XLOOKUP(F721,customers!$B$1:$B$1001,customers!$C$1:$C$1001,,0)=0,"",_xlfn.XLOOKUP(F721,customers!$B$1:$B$1001,customers!$C$1:$C$1001,,0))</f>
        <v>gfanthamjz@hexun.com</v>
      </c>
      <c r="H721" s="2" t="str">
        <f>_xlfn.XLOOKUP(C721,customers!$A$1:$A$1001,customers!$G$1:$G$1001,,0)</f>
        <v>United States</v>
      </c>
      <c r="I721" t="str">
        <f>_xlfn.XLOOKUP(D721,products!$A$1:$A$49,products!$B$1:$B$49,,0)</f>
        <v>Lib</v>
      </c>
      <c r="J721" t="str">
        <f>_xlfn.XLOOKUP(D721,products!$A$1:$A$49,products!$C$1:$C$49,,0)</f>
        <v>L</v>
      </c>
      <c r="K721" s="5">
        <f>_xlfn.XLOOKUP(D721,products!$A$1:$A$49,products!$D$1:$D$49,,0)</f>
        <v>1</v>
      </c>
      <c r="L721" s="7">
        <f>_xlfn.XLOOKUP(D721,products!$A$1:$A$49,products!$E$1:$E$49,,0)</f>
        <v>15.85</v>
      </c>
      <c r="M721" s="7">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IF(_xlfn.XLOOKUP(F722,customers!$B$1:$B$1001,customers!$C$1:$C$1001,,0)=0,"",_xlfn.XLOOKUP(F722,customers!$B$1:$B$1001,customers!$C$1:$C$1001,,0))</f>
        <v>rcrookshanksk0@unc.edu</v>
      </c>
      <c r="H722" s="2" t="str">
        <f>_xlfn.XLOOKUP(C722,customers!$A$1:$A$1001,customers!$G$1:$G$1001,,0)</f>
        <v>United States</v>
      </c>
      <c r="I722" t="str">
        <f>_xlfn.XLOOKUP(D722,products!$A$1:$A$49,products!$B$1:$B$49,,0)</f>
        <v>Exc</v>
      </c>
      <c r="J722" t="str">
        <f>_xlfn.XLOOKUP(D722,products!$A$1:$A$49,products!$C$1:$C$49,,0)</f>
        <v>D</v>
      </c>
      <c r="K722" s="5">
        <f>_xlfn.XLOOKUP(D722,products!$A$1:$A$49,products!$D$1:$D$49,,0)</f>
        <v>0.5</v>
      </c>
      <c r="L722" s="7">
        <f>_xlfn.XLOOKUP(D722,products!$A$1:$A$49,products!$E$1:$E$49,,0)</f>
        <v>7.29</v>
      </c>
      <c r="M722" s="7">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IF(_xlfn.XLOOKUP(F723,customers!$B$1:$B$1001,customers!$C$1:$C$1001,,0)=0,"",_xlfn.XLOOKUP(F723,customers!$B$1:$B$1001,customers!$C$1:$C$1001,,0))</f>
        <v>nleakek1@cmu.edu</v>
      </c>
      <c r="H723" s="2" t="str">
        <f>_xlfn.XLOOKUP(C723,customers!$A$1:$A$1001,customers!$G$1:$G$1001,,0)</f>
        <v>United States</v>
      </c>
      <c r="I723" t="str">
        <f>_xlfn.XLOOKUP(D723,products!$A$1:$A$49,products!$B$1:$B$49,,0)</f>
        <v>Rob</v>
      </c>
      <c r="J723" t="str">
        <f>_xlfn.XLOOKUP(D723,products!$A$1:$A$49,products!$C$1:$C$49,,0)</f>
        <v>M</v>
      </c>
      <c r="K723" s="5">
        <f>_xlfn.XLOOKUP(D723,products!$A$1:$A$49,products!$D$1:$D$49,,0)</f>
        <v>0.2</v>
      </c>
      <c r="L723" s="7">
        <f>_xlfn.XLOOKUP(D723,products!$A$1:$A$49,products!$E$1:$E$49,,0)</f>
        <v>2.9849999999999999</v>
      </c>
      <c r="M723" s="7">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IF(_xlfn.XLOOKUP(F724,customers!$B$1:$B$1001,customers!$C$1:$C$1001,,0)=0,"",_xlfn.XLOOKUP(F724,customers!$B$1:$B$1001,customers!$C$1:$C$1001,,0))</f>
        <v/>
      </c>
      <c r="H724" s="2" t="str">
        <f>_xlfn.XLOOKUP(C724,customers!$A$1:$A$1001,customers!$G$1:$G$1001,,0)</f>
        <v>United States</v>
      </c>
      <c r="I724" t="str">
        <f>_xlfn.XLOOKUP(D724,products!$A$1:$A$49,products!$B$1:$B$49,,0)</f>
        <v>Exc</v>
      </c>
      <c r="J724" t="str">
        <f>_xlfn.XLOOKUP(D724,products!$A$1:$A$49,products!$C$1:$C$49,,0)</f>
        <v>D</v>
      </c>
      <c r="K724" s="5">
        <f>_xlfn.XLOOKUP(D724,products!$A$1:$A$49,products!$D$1:$D$49,,0)</f>
        <v>1</v>
      </c>
      <c r="L724" s="7">
        <f>_xlfn.XLOOKUP(D724,products!$A$1:$A$49,products!$E$1:$E$49,,0)</f>
        <v>12.15</v>
      </c>
      <c r="M724" s="7">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IF(_xlfn.XLOOKUP(F725,customers!$B$1:$B$1001,customers!$C$1:$C$1001,,0)=0,"",_xlfn.XLOOKUP(F725,customers!$B$1:$B$1001,customers!$C$1:$C$1001,,0))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5">
        <f>_xlfn.XLOOKUP(D725,products!$A$1:$A$49,products!$D$1:$D$49,,0)</f>
        <v>2.5</v>
      </c>
      <c r="L725" s="7">
        <f>_xlfn.XLOOKUP(D725,products!$A$1:$A$49,products!$E$1:$E$49,,0)</f>
        <v>31.624999999999996</v>
      </c>
      <c r="M725" s="7">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IF(_xlfn.XLOOKUP(F726,customers!$B$1:$B$1001,customers!$C$1:$C$1001,,0)=0,"",_xlfn.XLOOKUP(F726,customers!$B$1:$B$1001,customers!$C$1:$C$1001,,0))</f>
        <v/>
      </c>
      <c r="H726" s="2" t="str">
        <f>_xlfn.XLOOKUP(C726,customers!$A$1:$A$1001,customers!$G$1:$G$1001,,0)</f>
        <v>United States</v>
      </c>
      <c r="I726" t="str">
        <f>_xlfn.XLOOKUP(D726,products!$A$1:$A$49,products!$B$1:$B$49,,0)</f>
        <v>Ara</v>
      </c>
      <c r="J726" t="str">
        <f>_xlfn.XLOOKUP(D726,products!$A$1:$A$49,products!$C$1:$C$49,,0)</f>
        <v>M</v>
      </c>
      <c r="K726" s="5">
        <f>_xlfn.XLOOKUP(D726,products!$A$1:$A$49,products!$D$1:$D$49,,0)</f>
        <v>0.2</v>
      </c>
      <c r="L726" s="7">
        <f>_xlfn.XLOOKUP(D726,products!$A$1:$A$49,products!$E$1:$E$49,,0)</f>
        <v>3.375</v>
      </c>
      <c r="M726" s="7">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IF(_xlfn.XLOOKUP(F727,customers!$B$1:$B$1001,customers!$C$1:$C$1001,,0)=0,"",_xlfn.XLOOKUP(F727,customers!$B$1:$B$1001,customers!$C$1:$C$1001,,0))</f>
        <v>caleixok5@globo.com</v>
      </c>
      <c r="H727" s="2" t="str">
        <f>_xlfn.XLOOKUP(C727,customers!$A$1:$A$1001,customers!$G$1:$G$1001,,0)</f>
        <v>United States</v>
      </c>
      <c r="I727" t="str">
        <f>_xlfn.XLOOKUP(D727,products!$A$1:$A$49,products!$B$1:$B$49,,0)</f>
        <v>Ara</v>
      </c>
      <c r="J727" t="str">
        <f>_xlfn.XLOOKUP(D727,products!$A$1:$A$49,products!$C$1:$C$49,,0)</f>
        <v>L</v>
      </c>
      <c r="K727" s="5">
        <f>_xlfn.XLOOKUP(D727,products!$A$1:$A$49,products!$D$1:$D$49,,0)</f>
        <v>0.2</v>
      </c>
      <c r="L727" s="7">
        <f>_xlfn.XLOOKUP(D727,products!$A$1:$A$49,products!$E$1:$E$49,,0)</f>
        <v>3.8849999999999998</v>
      </c>
      <c r="M727" s="7">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IF(_xlfn.XLOOKUP(F728,customers!$B$1:$B$1001,customers!$C$1:$C$1001,,0)=0,"",_xlfn.XLOOKUP(F728,customers!$B$1:$B$1001,customers!$C$1:$C$1001,,0))</f>
        <v/>
      </c>
      <c r="H728" s="2" t="str">
        <f>_xlfn.XLOOKUP(C728,customers!$A$1:$A$1001,customers!$G$1:$G$1001,,0)</f>
        <v>United States</v>
      </c>
      <c r="I728" t="str">
        <f>_xlfn.XLOOKUP(D728,products!$A$1:$A$49,products!$B$1:$B$49,,0)</f>
        <v>Lib</v>
      </c>
      <c r="J728" t="str">
        <f>_xlfn.XLOOKUP(D728,products!$A$1:$A$49,products!$C$1:$C$49,,0)</f>
        <v>L</v>
      </c>
      <c r="K728" s="5">
        <f>_xlfn.XLOOKUP(D728,products!$A$1:$A$49,products!$D$1:$D$49,,0)</f>
        <v>2.5</v>
      </c>
      <c r="L728" s="7">
        <f>_xlfn.XLOOKUP(D728,products!$A$1:$A$49,products!$E$1:$E$49,,0)</f>
        <v>36.454999999999998</v>
      </c>
      <c r="M728" s="7">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IF(_xlfn.XLOOKUP(F729,customers!$B$1:$B$1001,customers!$C$1:$C$1001,,0)=0,"",_xlfn.XLOOKUP(F729,customers!$B$1:$B$1001,customers!$C$1:$C$1001,,0))</f>
        <v>rtomkowiczk7@bravesites.com</v>
      </c>
      <c r="H729" s="2" t="str">
        <f>_xlfn.XLOOKUP(C729,customers!$A$1:$A$1001,customers!$G$1:$G$1001,,0)</f>
        <v>Ireland</v>
      </c>
      <c r="I729" t="str">
        <f>_xlfn.XLOOKUP(D729,products!$A$1:$A$49,products!$B$1:$B$49,,0)</f>
        <v>Rob</v>
      </c>
      <c r="J729" t="str">
        <f>_xlfn.XLOOKUP(D729,products!$A$1:$A$49,products!$C$1:$C$49,,0)</f>
        <v>M</v>
      </c>
      <c r="K729" s="5">
        <f>_xlfn.XLOOKUP(D729,products!$A$1:$A$49,products!$D$1:$D$49,,0)</f>
        <v>0.5</v>
      </c>
      <c r="L729" s="7">
        <f>_xlfn.XLOOKUP(D729,products!$A$1:$A$49,products!$E$1:$E$49,,0)</f>
        <v>5.97</v>
      </c>
      <c r="M729" s="7">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IF(_xlfn.XLOOKUP(F730,customers!$B$1:$B$1001,customers!$C$1:$C$1001,,0)=0,"",_xlfn.XLOOKUP(F730,customers!$B$1:$B$1001,customers!$C$1:$C$1001,,0))</f>
        <v>rhuscroftk8@jimdo.com</v>
      </c>
      <c r="H730" s="2" t="str">
        <f>_xlfn.XLOOKUP(C730,customers!$A$1:$A$1001,customers!$G$1:$G$1001,,0)</f>
        <v>United States</v>
      </c>
      <c r="I730" t="str">
        <f>_xlfn.XLOOKUP(D730,products!$A$1:$A$49,products!$B$1:$B$49,,0)</f>
        <v>Exc</v>
      </c>
      <c r="J730" t="str">
        <f>_xlfn.XLOOKUP(D730,products!$A$1:$A$49,products!$C$1:$C$49,,0)</f>
        <v>D</v>
      </c>
      <c r="K730" s="5">
        <f>_xlfn.XLOOKUP(D730,products!$A$1:$A$49,products!$D$1:$D$49,,0)</f>
        <v>0.5</v>
      </c>
      <c r="L730" s="7">
        <f>_xlfn.XLOOKUP(D730,products!$A$1:$A$49,products!$E$1:$E$49,,0)</f>
        <v>7.29</v>
      </c>
      <c r="M730" s="7">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IF(_xlfn.XLOOKUP(F731,customers!$B$1:$B$1001,customers!$C$1:$C$1001,,0)=0,"",_xlfn.XLOOKUP(F731,customers!$B$1:$B$1001,customers!$C$1:$C$1001,,0))</f>
        <v>sscurrerk9@flavors.me</v>
      </c>
      <c r="H731" s="2" t="str">
        <f>_xlfn.XLOOKUP(C731,customers!$A$1:$A$1001,customers!$G$1:$G$1001,,0)</f>
        <v>United Kingdom</v>
      </c>
      <c r="I731" t="str">
        <f>_xlfn.XLOOKUP(D731,products!$A$1:$A$49,products!$B$1:$B$49,,0)</f>
        <v>Lib</v>
      </c>
      <c r="J731" t="str">
        <f>_xlfn.XLOOKUP(D731,products!$A$1:$A$49,products!$C$1:$C$49,,0)</f>
        <v>M</v>
      </c>
      <c r="K731" s="5">
        <f>_xlfn.XLOOKUP(D731,products!$A$1:$A$49,products!$D$1:$D$49,,0)</f>
        <v>0.2</v>
      </c>
      <c r="L731" s="7">
        <f>_xlfn.XLOOKUP(D731,products!$A$1:$A$49,products!$E$1:$E$49,,0)</f>
        <v>4.3650000000000002</v>
      </c>
      <c r="M731" s="7">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IF(_xlfn.XLOOKUP(F732,customers!$B$1:$B$1001,customers!$C$1:$C$1001,,0)=0,"",_xlfn.XLOOKUP(F732,customers!$B$1:$B$1001,customers!$C$1:$C$1001,,0))</f>
        <v>arudramka@prnewswire.com</v>
      </c>
      <c r="H732" s="2" t="str">
        <f>_xlfn.XLOOKUP(C732,customers!$A$1:$A$1001,customers!$G$1:$G$1001,,0)</f>
        <v>United States</v>
      </c>
      <c r="I732" t="str">
        <f>_xlfn.XLOOKUP(D732,products!$A$1:$A$49,products!$B$1:$B$49,,0)</f>
        <v>Lib</v>
      </c>
      <c r="J732" t="str">
        <f>_xlfn.XLOOKUP(D732,products!$A$1:$A$49,products!$C$1:$C$49,,0)</f>
        <v>L</v>
      </c>
      <c r="K732" s="5">
        <f>_xlfn.XLOOKUP(D732,products!$A$1:$A$49,products!$D$1:$D$49,,0)</f>
        <v>2.5</v>
      </c>
      <c r="L732" s="7">
        <f>_xlfn.XLOOKUP(D732,products!$A$1:$A$49,products!$E$1:$E$49,,0)</f>
        <v>36.454999999999998</v>
      </c>
      <c r="M732" s="7">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IF(_xlfn.XLOOKUP(F733,customers!$B$1:$B$1001,customers!$C$1:$C$1001,,0)=0,"",_xlfn.XLOOKUP(F733,customers!$B$1:$B$1001,customers!$C$1:$C$1001,,0))</f>
        <v/>
      </c>
      <c r="H733" s="2" t="str">
        <f>_xlfn.XLOOKUP(C733,customers!$A$1:$A$1001,customers!$G$1:$G$1001,,0)</f>
        <v>United States</v>
      </c>
      <c r="I733" t="str">
        <f>_xlfn.XLOOKUP(D733,products!$A$1:$A$49,products!$B$1:$B$49,,0)</f>
        <v>Lib</v>
      </c>
      <c r="J733" t="str">
        <f>_xlfn.XLOOKUP(D733,products!$A$1:$A$49,products!$C$1:$C$49,,0)</f>
        <v>D</v>
      </c>
      <c r="K733" s="5">
        <f>_xlfn.XLOOKUP(D733,products!$A$1:$A$49,products!$D$1:$D$49,,0)</f>
        <v>0.2</v>
      </c>
      <c r="L733" s="7">
        <f>_xlfn.XLOOKUP(D733,products!$A$1:$A$49,products!$E$1:$E$49,,0)</f>
        <v>3.8849999999999998</v>
      </c>
      <c r="M733" s="7">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IF(_xlfn.XLOOKUP(F734,customers!$B$1:$B$1001,customers!$C$1:$C$1001,,0)=0,"",_xlfn.XLOOKUP(F734,customers!$B$1:$B$1001,customers!$C$1:$C$1001,,0))</f>
        <v>jmahakc@cyberchimps.com</v>
      </c>
      <c r="H734" s="2" t="str">
        <f>_xlfn.XLOOKUP(C734,customers!$A$1:$A$1001,customers!$G$1:$G$1001,,0)</f>
        <v>United States</v>
      </c>
      <c r="I734" t="str">
        <f>_xlfn.XLOOKUP(D734,products!$A$1:$A$49,products!$B$1:$B$49,,0)</f>
        <v>Exc</v>
      </c>
      <c r="J734" t="str">
        <f>_xlfn.XLOOKUP(D734,products!$A$1:$A$49,products!$C$1:$C$49,,0)</f>
        <v>L</v>
      </c>
      <c r="K734" s="5">
        <f>_xlfn.XLOOKUP(D734,products!$A$1:$A$49,products!$D$1:$D$49,,0)</f>
        <v>0.2</v>
      </c>
      <c r="L734" s="7">
        <f>_xlfn.XLOOKUP(D734,products!$A$1:$A$49,products!$E$1:$E$49,,0)</f>
        <v>4.4550000000000001</v>
      </c>
      <c r="M734" s="7">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IF(_xlfn.XLOOKUP(F735,customers!$B$1:$B$1001,customers!$C$1:$C$1001,,0)=0,"",_xlfn.XLOOKUP(F735,customers!$B$1:$B$1001,customers!$C$1:$C$1001,,0))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5">
        <f>_xlfn.XLOOKUP(D735,products!$A$1:$A$49,products!$D$1:$D$49,,0)</f>
        <v>2.5</v>
      </c>
      <c r="L735" s="7">
        <f>_xlfn.XLOOKUP(D735,products!$A$1:$A$49,products!$E$1:$E$49,,0)</f>
        <v>33.464999999999996</v>
      </c>
      <c r="M735" s="7">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IF(_xlfn.XLOOKUP(F736,customers!$B$1:$B$1001,customers!$C$1:$C$1001,,0)=0,"",_xlfn.XLOOKUP(F736,customers!$B$1:$B$1001,customers!$C$1:$C$1001,,0))</f>
        <v/>
      </c>
      <c r="H736" s="2" t="str">
        <f>_xlfn.XLOOKUP(C736,customers!$A$1:$A$1001,customers!$G$1:$G$1001,,0)</f>
        <v>United States</v>
      </c>
      <c r="I736" t="str">
        <f>_xlfn.XLOOKUP(D736,products!$A$1:$A$49,products!$B$1:$B$49,,0)</f>
        <v>Rob</v>
      </c>
      <c r="J736" t="str">
        <f>_xlfn.XLOOKUP(D736,products!$A$1:$A$49,products!$C$1:$C$49,,0)</f>
        <v>D</v>
      </c>
      <c r="K736" s="5">
        <f>_xlfn.XLOOKUP(D736,products!$A$1:$A$49,products!$D$1:$D$49,,0)</f>
        <v>0.2</v>
      </c>
      <c r="L736" s="7">
        <f>_xlfn.XLOOKUP(D736,products!$A$1:$A$49,products!$E$1:$E$49,,0)</f>
        <v>2.6849999999999996</v>
      </c>
      <c r="M736" s="7">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IF(_xlfn.XLOOKUP(F737,customers!$B$1:$B$1001,customers!$C$1:$C$1001,,0)=0,"",_xlfn.XLOOKUP(F737,customers!$B$1:$B$1001,customers!$C$1:$C$1001,,0))</f>
        <v>bpollinskf@shinystat.com</v>
      </c>
      <c r="H737" s="2" t="str">
        <f>_xlfn.XLOOKUP(C737,customers!$A$1:$A$1001,customers!$G$1:$G$1001,,0)</f>
        <v>United States</v>
      </c>
      <c r="I737" t="str">
        <f>_xlfn.XLOOKUP(D737,products!$A$1:$A$49,products!$B$1:$B$49,,0)</f>
        <v>Exc</v>
      </c>
      <c r="J737" t="str">
        <f>_xlfn.XLOOKUP(D737,products!$A$1:$A$49,products!$C$1:$C$49,,0)</f>
        <v>D</v>
      </c>
      <c r="K737" s="5">
        <f>_xlfn.XLOOKUP(D737,products!$A$1:$A$49,products!$D$1:$D$49,,0)</f>
        <v>0.2</v>
      </c>
      <c r="L737" s="7">
        <f>_xlfn.XLOOKUP(D737,products!$A$1:$A$49,products!$E$1:$E$49,,0)</f>
        <v>3.645</v>
      </c>
      <c r="M737" s="7">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IF(_xlfn.XLOOKUP(F738,customers!$B$1:$B$1001,customers!$C$1:$C$1001,,0)=0,"",_xlfn.XLOOKUP(F738,customers!$B$1:$B$1001,customers!$C$1:$C$1001,,0))</f>
        <v>jtoyekg@pinterest.com</v>
      </c>
      <c r="H738" s="2" t="str">
        <f>_xlfn.XLOOKUP(C738,customers!$A$1:$A$1001,customers!$G$1:$G$1001,,0)</f>
        <v>Ireland</v>
      </c>
      <c r="I738" t="str">
        <f>_xlfn.XLOOKUP(D738,products!$A$1:$A$49,products!$B$1:$B$49,,0)</f>
        <v>Lib</v>
      </c>
      <c r="J738" t="str">
        <f>_xlfn.XLOOKUP(D738,products!$A$1:$A$49,products!$C$1:$C$49,,0)</f>
        <v>D</v>
      </c>
      <c r="K738" s="5">
        <f>_xlfn.XLOOKUP(D738,products!$A$1:$A$49,products!$D$1:$D$49,,0)</f>
        <v>1</v>
      </c>
      <c r="L738" s="7">
        <f>_xlfn.XLOOKUP(D738,products!$A$1:$A$49,products!$E$1:$E$49,,0)</f>
        <v>12.95</v>
      </c>
      <c r="M738" s="7">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IF(_xlfn.XLOOKUP(F739,customers!$B$1:$B$1001,customers!$C$1:$C$1001,,0)=0,"",_xlfn.XLOOKUP(F739,customers!$B$1:$B$1001,customers!$C$1:$C$1001,,0))</f>
        <v>clinskillkh@sphinn.com</v>
      </c>
      <c r="H739" s="2" t="str">
        <f>_xlfn.XLOOKUP(C739,customers!$A$1:$A$1001,customers!$G$1:$G$1001,,0)</f>
        <v>United States</v>
      </c>
      <c r="I739" t="str">
        <f>_xlfn.XLOOKUP(D739,products!$A$1:$A$49,products!$B$1:$B$49,,0)</f>
        <v>Ara</v>
      </c>
      <c r="J739" t="str">
        <f>_xlfn.XLOOKUP(D739,products!$A$1:$A$49,products!$C$1:$C$49,,0)</f>
        <v>M</v>
      </c>
      <c r="K739" s="5">
        <f>_xlfn.XLOOKUP(D739,products!$A$1:$A$49,products!$D$1:$D$49,,0)</f>
        <v>1</v>
      </c>
      <c r="L739" s="7">
        <f>_xlfn.XLOOKUP(D739,products!$A$1:$A$49,products!$E$1:$E$49,,0)</f>
        <v>11.25</v>
      </c>
      <c r="M739" s="7">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IF(_xlfn.XLOOKUP(F740,customers!$B$1:$B$1001,customers!$C$1:$C$1001,,0)=0,"",_xlfn.XLOOKUP(F740,customers!$B$1:$B$1001,customers!$C$1:$C$1001,,0))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5">
        <f>_xlfn.XLOOKUP(D740,products!$A$1:$A$49,products!$D$1:$D$49,,0)</f>
        <v>0.2</v>
      </c>
      <c r="L740" s="7">
        <f>_xlfn.XLOOKUP(D740,products!$A$1:$A$49,products!$E$1:$E$49,,0)</f>
        <v>3.5849999999999995</v>
      </c>
      <c r="M740" s="7">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IF(_xlfn.XLOOKUP(F741,customers!$B$1:$B$1001,customers!$C$1:$C$1001,,0)=0,"",_xlfn.XLOOKUP(F741,customers!$B$1:$B$1001,customers!$C$1:$C$1001,,0))</f>
        <v>jdymokeje@prnewswire.com</v>
      </c>
      <c r="H741" s="2" t="str">
        <f>_xlfn.XLOOKUP(C741,customers!$A$1:$A$1001,customers!$G$1:$G$1001,,0)</f>
        <v>Ireland</v>
      </c>
      <c r="I741" t="str">
        <f>_xlfn.XLOOKUP(D741,products!$A$1:$A$49,products!$B$1:$B$49,,0)</f>
        <v>Exc</v>
      </c>
      <c r="J741" t="str">
        <f>_xlfn.XLOOKUP(D741,products!$A$1:$A$49,products!$C$1:$C$49,,0)</f>
        <v>D</v>
      </c>
      <c r="K741" s="5">
        <f>_xlfn.XLOOKUP(D741,products!$A$1:$A$49,products!$D$1:$D$49,,0)</f>
        <v>0.2</v>
      </c>
      <c r="L741" s="7">
        <f>_xlfn.XLOOKUP(D741,products!$A$1:$A$49,products!$E$1:$E$49,,0)</f>
        <v>3.645</v>
      </c>
      <c r="M741" s="7">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IF(_xlfn.XLOOKUP(F742,customers!$B$1:$B$1001,customers!$C$1:$C$1001,,0)=0,"",_xlfn.XLOOKUP(F742,customers!$B$1:$B$1001,customers!$C$1:$C$1001,,0))</f>
        <v>kcragellkk@google.com</v>
      </c>
      <c r="H742" s="2" t="str">
        <f>_xlfn.XLOOKUP(C742,customers!$A$1:$A$1001,customers!$G$1:$G$1001,,0)</f>
        <v>Ireland</v>
      </c>
      <c r="I742" t="str">
        <f>_xlfn.XLOOKUP(D742,products!$A$1:$A$49,products!$B$1:$B$49,,0)</f>
        <v>Rob</v>
      </c>
      <c r="J742" t="str">
        <f>_xlfn.XLOOKUP(D742,products!$A$1:$A$49,products!$C$1:$C$49,,0)</f>
        <v>L</v>
      </c>
      <c r="K742" s="5">
        <f>_xlfn.XLOOKUP(D742,products!$A$1:$A$49,products!$D$1:$D$49,,0)</f>
        <v>0.5</v>
      </c>
      <c r="L742" s="7">
        <f>_xlfn.XLOOKUP(D742,products!$A$1:$A$49,products!$E$1:$E$49,,0)</f>
        <v>7.169999999999999</v>
      </c>
      <c r="M742" s="7">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IF(_xlfn.XLOOKUP(F743,customers!$B$1:$B$1001,customers!$C$1:$C$1001,,0)=0,"",_xlfn.XLOOKUP(F743,customers!$B$1:$B$1001,customers!$C$1:$C$1001,,0))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5">
        <f>_xlfn.XLOOKUP(D743,products!$A$1:$A$49,products!$D$1:$D$49,,0)</f>
        <v>0.2</v>
      </c>
      <c r="L743" s="7">
        <f>_xlfn.XLOOKUP(D743,products!$A$1:$A$49,products!$E$1:$E$49,,0)</f>
        <v>4.3650000000000002</v>
      </c>
      <c r="M743" s="7">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IF(_xlfn.XLOOKUP(F744,customers!$B$1:$B$1001,customers!$C$1:$C$1001,,0)=0,"",_xlfn.XLOOKUP(F744,customers!$B$1:$B$1001,customers!$C$1:$C$1001,,0))</f>
        <v>rlidgeykm@vimeo.com</v>
      </c>
      <c r="H744" s="2" t="str">
        <f>_xlfn.XLOOKUP(C744,customers!$A$1:$A$1001,customers!$G$1:$G$1001,,0)</f>
        <v>United States</v>
      </c>
      <c r="I744" t="str">
        <f>_xlfn.XLOOKUP(D744,products!$A$1:$A$49,products!$B$1:$B$49,,0)</f>
        <v>Lib</v>
      </c>
      <c r="J744" t="str">
        <f>_xlfn.XLOOKUP(D744,products!$A$1:$A$49,products!$C$1:$C$49,,0)</f>
        <v>M</v>
      </c>
      <c r="K744" s="5">
        <f>_xlfn.XLOOKUP(D744,products!$A$1:$A$49,products!$D$1:$D$49,,0)</f>
        <v>1</v>
      </c>
      <c r="L744" s="7">
        <f>_xlfn.XLOOKUP(D744,products!$A$1:$A$49,products!$E$1:$E$49,,0)</f>
        <v>14.55</v>
      </c>
      <c r="M744" s="7">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IF(_xlfn.XLOOKUP(F745,customers!$B$1:$B$1001,customers!$C$1:$C$1001,,0)=0,"",_xlfn.XLOOKUP(F745,customers!$B$1:$B$1001,customers!$C$1:$C$1001,,0))</f>
        <v>tcastagnekn@wikia.com</v>
      </c>
      <c r="H745" s="2" t="str">
        <f>_xlfn.XLOOKUP(C745,customers!$A$1:$A$1001,customers!$G$1:$G$1001,,0)</f>
        <v>United States</v>
      </c>
      <c r="I745" t="str">
        <f>_xlfn.XLOOKUP(D745,products!$A$1:$A$49,products!$B$1:$B$49,,0)</f>
        <v>Ara</v>
      </c>
      <c r="J745" t="str">
        <f>_xlfn.XLOOKUP(D745,products!$A$1:$A$49,products!$C$1:$C$49,,0)</f>
        <v>D</v>
      </c>
      <c r="K745" s="5">
        <f>_xlfn.XLOOKUP(D745,products!$A$1:$A$49,products!$D$1:$D$49,,0)</f>
        <v>0.5</v>
      </c>
      <c r="L745" s="7">
        <f>_xlfn.XLOOKUP(D745,products!$A$1:$A$49,products!$E$1:$E$49,,0)</f>
        <v>5.97</v>
      </c>
      <c r="M745" s="7">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IF(_xlfn.XLOOKUP(F746,customers!$B$1:$B$1001,customers!$C$1:$C$1001,,0)=0,"",_xlfn.XLOOKUP(F746,customers!$B$1:$B$1001,customers!$C$1:$C$1001,,0))</f>
        <v/>
      </c>
      <c r="H746" s="2" t="str">
        <f>_xlfn.XLOOKUP(C746,customers!$A$1:$A$1001,customers!$G$1:$G$1001,,0)</f>
        <v>United States</v>
      </c>
      <c r="I746" t="str">
        <f>_xlfn.XLOOKUP(D746,products!$A$1:$A$49,products!$B$1:$B$49,,0)</f>
        <v>Rob</v>
      </c>
      <c r="J746" t="str">
        <f>_xlfn.XLOOKUP(D746,products!$A$1:$A$49,products!$C$1:$C$49,,0)</f>
        <v>M</v>
      </c>
      <c r="K746" s="5">
        <f>_xlfn.XLOOKUP(D746,products!$A$1:$A$49,products!$D$1:$D$49,,0)</f>
        <v>0.2</v>
      </c>
      <c r="L746" s="7">
        <f>_xlfn.XLOOKUP(D746,products!$A$1:$A$49,products!$E$1:$E$49,,0)</f>
        <v>2.9849999999999999</v>
      </c>
      <c r="M746" s="7">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IF(_xlfn.XLOOKUP(F747,customers!$B$1:$B$1001,customers!$C$1:$C$1001,,0)=0,"",_xlfn.XLOOKUP(F747,customers!$B$1:$B$1001,customers!$C$1:$C$1001,,0))</f>
        <v>jhaldenkp@comcast.net</v>
      </c>
      <c r="H747" s="2" t="str">
        <f>_xlfn.XLOOKUP(C747,customers!$A$1:$A$1001,customers!$G$1:$G$1001,,0)</f>
        <v>Ireland</v>
      </c>
      <c r="I747" t="str">
        <f>_xlfn.XLOOKUP(D747,products!$A$1:$A$49,products!$B$1:$B$49,,0)</f>
        <v>Exc</v>
      </c>
      <c r="J747" t="str">
        <f>_xlfn.XLOOKUP(D747,products!$A$1:$A$49,products!$C$1:$C$49,,0)</f>
        <v>D</v>
      </c>
      <c r="K747" s="5">
        <f>_xlfn.XLOOKUP(D747,products!$A$1:$A$49,products!$D$1:$D$49,,0)</f>
        <v>0.5</v>
      </c>
      <c r="L747" s="7">
        <f>_xlfn.XLOOKUP(D747,products!$A$1:$A$49,products!$E$1:$E$49,,0)</f>
        <v>7.29</v>
      </c>
      <c r="M747" s="7">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IF(_xlfn.XLOOKUP(F748,customers!$B$1:$B$1001,customers!$C$1:$C$1001,,0)=0,"",_xlfn.XLOOKUP(F748,customers!$B$1:$B$1001,customers!$C$1:$C$1001,,0))</f>
        <v>holliffkq@sciencedirect.com</v>
      </c>
      <c r="H748" s="2" t="str">
        <f>_xlfn.XLOOKUP(C748,customers!$A$1:$A$1001,customers!$G$1:$G$1001,,0)</f>
        <v>Ireland</v>
      </c>
      <c r="I748" t="str">
        <f>_xlfn.XLOOKUP(D748,products!$A$1:$A$49,products!$B$1:$B$49,,0)</f>
        <v>Ara</v>
      </c>
      <c r="J748" t="str">
        <f>_xlfn.XLOOKUP(D748,products!$A$1:$A$49,products!$C$1:$C$49,,0)</f>
        <v>M</v>
      </c>
      <c r="K748" s="5">
        <f>_xlfn.XLOOKUP(D748,products!$A$1:$A$49,products!$D$1:$D$49,,0)</f>
        <v>1</v>
      </c>
      <c r="L748" s="7">
        <f>_xlfn.XLOOKUP(D748,products!$A$1:$A$49,products!$E$1:$E$49,,0)</f>
        <v>11.25</v>
      </c>
      <c r="M748" s="7">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IF(_xlfn.XLOOKUP(F749,customers!$B$1:$B$1001,customers!$C$1:$C$1001,,0)=0,"",_xlfn.XLOOKUP(F749,customers!$B$1:$B$1001,customers!$C$1:$C$1001,,0))</f>
        <v>tquadrikr@opensource.org</v>
      </c>
      <c r="H749" s="2" t="str">
        <f>_xlfn.XLOOKUP(C749,customers!$A$1:$A$1001,customers!$G$1:$G$1001,,0)</f>
        <v>Ireland</v>
      </c>
      <c r="I749" t="str">
        <f>_xlfn.XLOOKUP(D749,products!$A$1:$A$49,products!$B$1:$B$49,,0)</f>
        <v>Lib</v>
      </c>
      <c r="J749" t="str">
        <f>_xlfn.XLOOKUP(D749,products!$A$1:$A$49,products!$C$1:$C$49,,0)</f>
        <v>M</v>
      </c>
      <c r="K749" s="5">
        <f>_xlfn.XLOOKUP(D749,products!$A$1:$A$49,products!$D$1:$D$49,,0)</f>
        <v>0.5</v>
      </c>
      <c r="L749" s="7">
        <f>_xlfn.XLOOKUP(D749,products!$A$1:$A$49,products!$E$1:$E$49,,0)</f>
        <v>8.73</v>
      </c>
      <c r="M749" s="7">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IF(_xlfn.XLOOKUP(F750,customers!$B$1:$B$1001,customers!$C$1:$C$1001,,0)=0,"",_xlfn.XLOOKUP(F750,customers!$B$1:$B$1001,customers!$C$1:$C$1001,,0))</f>
        <v>feshmadeks@umn.edu</v>
      </c>
      <c r="H750" s="2" t="str">
        <f>_xlfn.XLOOKUP(C750,customers!$A$1:$A$1001,customers!$G$1:$G$1001,,0)</f>
        <v>United States</v>
      </c>
      <c r="I750" t="str">
        <f>_xlfn.XLOOKUP(D750,products!$A$1:$A$49,products!$B$1:$B$49,,0)</f>
        <v>Exc</v>
      </c>
      <c r="J750" t="str">
        <f>_xlfn.XLOOKUP(D750,products!$A$1:$A$49,products!$C$1:$C$49,,0)</f>
        <v>D</v>
      </c>
      <c r="K750" s="5">
        <f>_xlfn.XLOOKUP(D750,products!$A$1:$A$49,products!$D$1:$D$49,,0)</f>
        <v>0.5</v>
      </c>
      <c r="L750" s="7">
        <f>_xlfn.XLOOKUP(D750,products!$A$1:$A$49,products!$E$1:$E$49,,0)</f>
        <v>7.29</v>
      </c>
      <c r="M750" s="7">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IF(_xlfn.XLOOKUP(F751,customers!$B$1:$B$1001,customers!$C$1:$C$1001,,0)=0,"",_xlfn.XLOOKUP(F751,customers!$B$1:$B$1001,customers!$C$1:$C$1001,,0))</f>
        <v>moilierkt@paginegialle.it</v>
      </c>
      <c r="H751" s="2" t="str">
        <f>_xlfn.XLOOKUP(C751,customers!$A$1:$A$1001,customers!$G$1:$G$1001,,0)</f>
        <v>Ireland</v>
      </c>
      <c r="I751" t="str">
        <f>_xlfn.XLOOKUP(D751,products!$A$1:$A$49,products!$B$1:$B$49,,0)</f>
        <v>Rob</v>
      </c>
      <c r="J751" t="str">
        <f>_xlfn.XLOOKUP(D751,products!$A$1:$A$49,products!$C$1:$C$49,,0)</f>
        <v>D</v>
      </c>
      <c r="K751" s="5">
        <f>_xlfn.XLOOKUP(D751,products!$A$1:$A$49,products!$D$1:$D$49,,0)</f>
        <v>0.2</v>
      </c>
      <c r="L751" s="7">
        <f>_xlfn.XLOOKUP(D751,products!$A$1:$A$49,products!$E$1:$E$49,,0)</f>
        <v>2.6849999999999996</v>
      </c>
      <c r="M751" s="7">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IF(_xlfn.XLOOKUP(F752,customers!$B$1:$B$1001,customers!$C$1:$C$1001,,0)=0,"",_xlfn.XLOOKUP(F752,customers!$B$1:$B$1001,customers!$C$1:$C$1001,,0))</f>
        <v/>
      </c>
      <c r="H752" s="2" t="str">
        <f>_xlfn.XLOOKUP(C752,customers!$A$1:$A$1001,customers!$G$1:$G$1001,,0)</f>
        <v>United States</v>
      </c>
      <c r="I752" t="str">
        <f>_xlfn.XLOOKUP(D752,products!$A$1:$A$49,products!$B$1:$B$49,,0)</f>
        <v>Rob</v>
      </c>
      <c r="J752" t="str">
        <f>_xlfn.XLOOKUP(D752,products!$A$1:$A$49,products!$C$1:$C$49,,0)</f>
        <v>M</v>
      </c>
      <c r="K752" s="5">
        <f>_xlfn.XLOOKUP(D752,products!$A$1:$A$49,products!$D$1:$D$49,,0)</f>
        <v>0.5</v>
      </c>
      <c r="L752" s="7">
        <f>_xlfn.XLOOKUP(D752,products!$A$1:$A$49,products!$E$1:$E$49,,0)</f>
        <v>5.97</v>
      </c>
      <c r="M752" s="7">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IF(_xlfn.XLOOKUP(F753,customers!$B$1:$B$1001,customers!$C$1:$C$1001,,0)=0,"",_xlfn.XLOOKUP(F753,customers!$B$1:$B$1001,customers!$C$1:$C$1001,,0))</f>
        <v>vshoebothamkv@redcross.org</v>
      </c>
      <c r="H753" s="2" t="str">
        <f>_xlfn.XLOOKUP(C753,customers!$A$1:$A$1001,customers!$G$1:$G$1001,,0)</f>
        <v>United States</v>
      </c>
      <c r="I753" t="str">
        <f>_xlfn.XLOOKUP(D753,products!$A$1:$A$49,products!$B$1:$B$49,,0)</f>
        <v>Lib</v>
      </c>
      <c r="J753" t="str">
        <f>_xlfn.XLOOKUP(D753,products!$A$1:$A$49,products!$C$1:$C$49,,0)</f>
        <v>L</v>
      </c>
      <c r="K753" s="5">
        <f>_xlfn.XLOOKUP(D753,products!$A$1:$A$49,products!$D$1:$D$49,,0)</f>
        <v>0.5</v>
      </c>
      <c r="L753" s="7">
        <f>_xlfn.XLOOKUP(D753,products!$A$1:$A$49,products!$E$1:$E$49,,0)</f>
        <v>9.51</v>
      </c>
      <c r="M753" s="7">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IF(_xlfn.XLOOKUP(F754,customers!$B$1:$B$1001,customers!$C$1:$C$1001,,0)=0,"",_xlfn.XLOOKUP(F754,customers!$B$1:$B$1001,customers!$C$1:$C$1001,,0))</f>
        <v>bsterkekw@biblegateway.com</v>
      </c>
      <c r="H754" s="2" t="str">
        <f>_xlfn.XLOOKUP(C754,customers!$A$1:$A$1001,customers!$G$1:$G$1001,,0)</f>
        <v>United States</v>
      </c>
      <c r="I754" t="str">
        <f>_xlfn.XLOOKUP(D754,products!$A$1:$A$49,products!$B$1:$B$49,,0)</f>
        <v>Exc</v>
      </c>
      <c r="J754" t="str">
        <f>_xlfn.XLOOKUP(D754,products!$A$1:$A$49,products!$C$1:$C$49,,0)</f>
        <v>M</v>
      </c>
      <c r="K754" s="5">
        <f>_xlfn.XLOOKUP(D754,products!$A$1:$A$49,products!$D$1:$D$49,,0)</f>
        <v>1</v>
      </c>
      <c r="L754" s="7">
        <f>_xlfn.XLOOKUP(D754,products!$A$1:$A$49,products!$E$1:$E$49,,0)</f>
        <v>13.75</v>
      </c>
      <c r="M754" s="7">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IF(_xlfn.XLOOKUP(F755,customers!$B$1:$B$1001,customers!$C$1:$C$1001,,0)=0,"",_xlfn.XLOOKUP(F755,customers!$B$1:$B$1001,customers!$C$1:$C$1001,,0))</f>
        <v>scaponkx@craigslist.org</v>
      </c>
      <c r="H755" s="2" t="str">
        <f>_xlfn.XLOOKUP(C755,customers!$A$1:$A$1001,customers!$G$1:$G$1001,,0)</f>
        <v>United States</v>
      </c>
      <c r="I755" t="str">
        <f>_xlfn.XLOOKUP(D755,products!$A$1:$A$49,products!$B$1:$B$49,,0)</f>
        <v>Ara</v>
      </c>
      <c r="J755" t="str">
        <f>_xlfn.XLOOKUP(D755,products!$A$1:$A$49,products!$C$1:$C$49,,0)</f>
        <v>D</v>
      </c>
      <c r="K755" s="5">
        <f>_xlfn.XLOOKUP(D755,products!$A$1:$A$49,products!$D$1:$D$49,,0)</f>
        <v>0.5</v>
      </c>
      <c r="L755" s="7">
        <f>_xlfn.XLOOKUP(D755,products!$A$1:$A$49,products!$E$1:$E$49,,0)</f>
        <v>5.97</v>
      </c>
      <c r="M755" s="7">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IF(_xlfn.XLOOKUP(F756,customers!$B$1:$B$1001,customers!$C$1:$C$1001,,0)=0,"",_xlfn.XLOOKUP(F756,customers!$B$1:$B$1001,customers!$C$1:$C$1001,,0))</f>
        <v>jdymokeje@prnewswire.com</v>
      </c>
      <c r="H756" s="2" t="str">
        <f>_xlfn.XLOOKUP(C756,customers!$A$1:$A$1001,customers!$G$1:$G$1001,,0)</f>
        <v>Ireland</v>
      </c>
      <c r="I756" t="str">
        <f>_xlfn.XLOOKUP(D756,products!$A$1:$A$49,products!$B$1:$B$49,,0)</f>
        <v>Ara</v>
      </c>
      <c r="J756" t="str">
        <f>_xlfn.XLOOKUP(D756,products!$A$1:$A$49,products!$C$1:$C$49,,0)</f>
        <v>D</v>
      </c>
      <c r="K756" s="5">
        <f>_xlfn.XLOOKUP(D756,products!$A$1:$A$49,products!$D$1:$D$49,,0)</f>
        <v>0.2</v>
      </c>
      <c r="L756" s="7">
        <f>_xlfn.XLOOKUP(D756,products!$A$1:$A$49,products!$E$1:$E$49,,0)</f>
        <v>2.9849999999999999</v>
      </c>
      <c r="M756" s="7">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IF(_xlfn.XLOOKUP(F757,customers!$B$1:$B$1001,customers!$C$1:$C$1001,,0)=0,"",_xlfn.XLOOKUP(F757,customers!$B$1:$B$1001,customers!$C$1:$C$1001,,0))</f>
        <v>fconstancekz@ifeng.com</v>
      </c>
      <c r="H757" s="2" t="str">
        <f>_xlfn.XLOOKUP(C757,customers!$A$1:$A$1001,customers!$G$1:$G$1001,,0)</f>
        <v>United States</v>
      </c>
      <c r="I757" t="str">
        <f>_xlfn.XLOOKUP(D757,products!$A$1:$A$49,products!$B$1:$B$49,,0)</f>
        <v>Lib</v>
      </c>
      <c r="J757" t="str">
        <f>_xlfn.XLOOKUP(D757,products!$A$1:$A$49,products!$C$1:$C$49,,0)</f>
        <v>L</v>
      </c>
      <c r="K757" s="5">
        <f>_xlfn.XLOOKUP(D757,products!$A$1:$A$49,products!$D$1:$D$49,,0)</f>
        <v>0.2</v>
      </c>
      <c r="L757" s="7">
        <f>_xlfn.XLOOKUP(D757,products!$A$1:$A$49,products!$E$1:$E$49,,0)</f>
        <v>4.7549999999999999</v>
      </c>
      <c r="M757" s="7">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IF(_xlfn.XLOOKUP(F758,customers!$B$1:$B$1001,customers!$C$1:$C$1001,,0)=0,"",_xlfn.XLOOKUP(F758,customers!$B$1:$B$1001,customers!$C$1:$C$1001,,0))</f>
        <v>fsulmanl0@washington.edu</v>
      </c>
      <c r="H758" s="2" t="str">
        <f>_xlfn.XLOOKUP(C758,customers!$A$1:$A$1001,customers!$G$1:$G$1001,,0)</f>
        <v>United States</v>
      </c>
      <c r="I758" t="str">
        <f>_xlfn.XLOOKUP(D758,products!$A$1:$A$49,products!$B$1:$B$49,,0)</f>
        <v>Rob</v>
      </c>
      <c r="J758" t="str">
        <f>_xlfn.XLOOKUP(D758,products!$A$1:$A$49,products!$C$1:$C$49,,0)</f>
        <v>D</v>
      </c>
      <c r="K758" s="5">
        <f>_xlfn.XLOOKUP(D758,products!$A$1:$A$49,products!$D$1:$D$49,,0)</f>
        <v>1</v>
      </c>
      <c r="L758" s="7">
        <f>_xlfn.XLOOKUP(D758,products!$A$1:$A$49,products!$E$1:$E$49,,0)</f>
        <v>8.9499999999999993</v>
      </c>
      <c r="M758" s="7">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IF(_xlfn.XLOOKUP(F759,customers!$B$1:$B$1001,customers!$C$1:$C$1001,,0)=0,"",_xlfn.XLOOKUP(F759,customers!$B$1:$B$1001,customers!$C$1:$C$1001,,0))</f>
        <v>dhollymanl1@ibm.com</v>
      </c>
      <c r="H759" s="2" t="str">
        <f>_xlfn.XLOOKUP(C759,customers!$A$1:$A$1001,customers!$G$1:$G$1001,,0)</f>
        <v>United States</v>
      </c>
      <c r="I759" t="str">
        <f>_xlfn.XLOOKUP(D759,products!$A$1:$A$49,products!$B$1:$B$49,,0)</f>
        <v>Ara</v>
      </c>
      <c r="J759" t="str">
        <f>_xlfn.XLOOKUP(D759,products!$A$1:$A$49,products!$C$1:$C$49,,0)</f>
        <v>D</v>
      </c>
      <c r="K759" s="5">
        <f>_xlfn.XLOOKUP(D759,products!$A$1:$A$49,products!$D$1:$D$49,,0)</f>
        <v>0.5</v>
      </c>
      <c r="L759" s="7">
        <f>_xlfn.XLOOKUP(D759,products!$A$1:$A$49,products!$E$1:$E$49,,0)</f>
        <v>5.97</v>
      </c>
      <c r="M759" s="7">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IF(_xlfn.XLOOKUP(F760,customers!$B$1:$B$1001,customers!$C$1:$C$1001,,0)=0,"",_xlfn.XLOOKUP(F760,customers!$B$1:$B$1001,customers!$C$1:$C$1001,,0))</f>
        <v>lnardonil2@hao123.com</v>
      </c>
      <c r="H760" s="2" t="str">
        <f>_xlfn.XLOOKUP(C760,customers!$A$1:$A$1001,customers!$G$1:$G$1001,,0)</f>
        <v>United States</v>
      </c>
      <c r="I760" t="str">
        <f>_xlfn.XLOOKUP(D760,products!$A$1:$A$49,products!$B$1:$B$49,,0)</f>
        <v>Rob</v>
      </c>
      <c r="J760" t="str">
        <f>_xlfn.XLOOKUP(D760,products!$A$1:$A$49,products!$C$1:$C$49,,0)</f>
        <v>D</v>
      </c>
      <c r="K760" s="5">
        <f>_xlfn.XLOOKUP(D760,products!$A$1:$A$49,products!$D$1:$D$49,,0)</f>
        <v>1</v>
      </c>
      <c r="L760" s="7">
        <f>_xlfn.XLOOKUP(D760,products!$A$1:$A$49,products!$E$1:$E$49,,0)</f>
        <v>8.9499999999999993</v>
      </c>
      <c r="M760" s="7">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IF(_xlfn.XLOOKUP(F761,customers!$B$1:$B$1001,customers!$C$1:$C$1001,,0)=0,"",_xlfn.XLOOKUP(F761,customers!$B$1:$B$1001,customers!$C$1:$C$1001,,0))</f>
        <v>dyarhaml3@moonfruit.com</v>
      </c>
      <c r="H761" s="2" t="str">
        <f>_xlfn.XLOOKUP(C761,customers!$A$1:$A$1001,customers!$G$1:$G$1001,,0)</f>
        <v>United States</v>
      </c>
      <c r="I761" t="str">
        <f>_xlfn.XLOOKUP(D761,products!$A$1:$A$49,products!$B$1:$B$49,,0)</f>
        <v>Lib</v>
      </c>
      <c r="J761" t="str">
        <f>_xlfn.XLOOKUP(D761,products!$A$1:$A$49,products!$C$1:$C$49,,0)</f>
        <v>D</v>
      </c>
      <c r="K761" s="5">
        <f>_xlfn.XLOOKUP(D761,products!$A$1:$A$49,products!$D$1:$D$49,,0)</f>
        <v>2.5</v>
      </c>
      <c r="L761" s="7">
        <f>_xlfn.XLOOKUP(D761,products!$A$1:$A$49,products!$E$1:$E$49,,0)</f>
        <v>29.784999999999997</v>
      </c>
      <c r="M761" s="7">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IF(_xlfn.XLOOKUP(F762,customers!$B$1:$B$1001,customers!$C$1:$C$1001,,0)=0,"",_xlfn.XLOOKUP(F762,customers!$B$1:$B$1001,customers!$C$1:$C$1001,,0))</f>
        <v>aferreal4@wikia.com</v>
      </c>
      <c r="H762" s="2" t="str">
        <f>_xlfn.XLOOKUP(C762,customers!$A$1:$A$1001,customers!$G$1:$G$1001,,0)</f>
        <v>United States</v>
      </c>
      <c r="I762" t="str">
        <f>_xlfn.XLOOKUP(D762,products!$A$1:$A$49,products!$B$1:$B$49,,0)</f>
        <v>Exc</v>
      </c>
      <c r="J762" t="str">
        <f>_xlfn.XLOOKUP(D762,products!$A$1:$A$49,products!$C$1:$C$49,,0)</f>
        <v>L</v>
      </c>
      <c r="K762" s="5">
        <f>_xlfn.XLOOKUP(D762,products!$A$1:$A$49,products!$D$1:$D$49,,0)</f>
        <v>0.5</v>
      </c>
      <c r="L762" s="7">
        <f>_xlfn.XLOOKUP(D762,products!$A$1:$A$49,products!$E$1:$E$49,,0)</f>
        <v>8.91</v>
      </c>
      <c r="M762" s="7">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IF(_xlfn.XLOOKUP(F763,customers!$B$1:$B$1001,customers!$C$1:$C$1001,,0)=0,"",_xlfn.XLOOKUP(F763,customers!$B$1:$B$1001,customers!$C$1:$C$1001,,0))</f>
        <v>ckendrickl5@webnode.com</v>
      </c>
      <c r="H763" s="2" t="str">
        <f>_xlfn.XLOOKUP(C763,customers!$A$1:$A$1001,customers!$G$1:$G$1001,,0)</f>
        <v>United States</v>
      </c>
      <c r="I763" t="str">
        <f>_xlfn.XLOOKUP(D763,products!$A$1:$A$49,products!$B$1:$B$49,,0)</f>
        <v>Exc</v>
      </c>
      <c r="J763" t="str">
        <f>_xlfn.XLOOKUP(D763,products!$A$1:$A$49,products!$C$1:$C$49,,0)</f>
        <v>L</v>
      </c>
      <c r="K763" s="5">
        <f>_xlfn.XLOOKUP(D763,products!$A$1:$A$49,products!$D$1:$D$49,,0)</f>
        <v>1</v>
      </c>
      <c r="L763" s="7">
        <f>_xlfn.XLOOKUP(D763,products!$A$1:$A$49,products!$E$1:$E$49,,0)</f>
        <v>14.85</v>
      </c>
      <c r="M763" s="7">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IF(_xlfn.XLOOKUP(F764,customers!$B$1:$B$1001,customers!$C$1:$C$1001,,0)=0,"",_xlfn.XLOOKUP(F764,customers!$B$1:$B$1001,customers!$C$1:$C$1001,,0))</f>
        <v>sdanilchikl6@mit.edu</v>
      </c>
      <c r="H764" s="2" t="str">
        <f>_xlfn.XLOOKUP(C764,customers!$A$1:$A$1001,customers!$G$1:$G$1001,,0)</f>
        <v>United Kingdom</v>
      </c>
      <c r="I764" t="str">
        <f>_xlfn.XLOOKUP(D764,products!$A$1:$A$49,products!$B$1:$B$49,,0)</f>
        <v>Lib</v>
      </c>
      <c r="J764" t="str">
        <f>_xlfn.XLOOKUP(D764,products!$A$1:$A$49,products!$C$1:$C$49,,0)</f>
        <v>M</v>
      </c>
      <c r="K764" s="5">
        <f>_xlfn.XLOOKUP(D764,products!$A$1:$A$49,products!$D$1:$D$49,,0)</f>
        <v>0.5</v>
      </c>
      <c r="L764" s="7">
        <f>_xlfn.XLOOKUP(D764,products!$A$1:$A$49,products!$E$1:$E$49,,0)</f>
        <v>8.73</v>
      </c>
      <c r="M764" s="7">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IF(_xlfn.XLOOKUP(F765,customers!$B$1:$B$1001,customers!$C$1:$C$1001,,0)=0,"",_xlfn.XLOOKUP(F765,customers!$B$1:$B$1001,customers!$C$1:$C$1001,,0))</f>
        <v/>
      </c>
      <c r="H765" s="2" t="str">
        <f>_xlfn.XLOOKUP(C765,customers!$A$1:$A$1001,customers!$G$1:$G$1001,,0)</f>
        <v>United States</v>
      </c>
      <c r="I765" t="str">
        <f>_xlfn.XLOOKUP(D765,products!$A$1:$A$49,products!$B$1:$B$49,,0)</f>
        <v>Ara</v>
      </c>
      <c r="J765" t="str">
        <f>_xlfn.XLOOKUP(D765,products!$A$1:$A$49,products!$C$1:$C$49,,0)</f>
        <v>L</v>
      </c>
      <c r="K765" s="5">
        <f>_xlfn.XLOOKUP(D765,products!$A$1:$A$49,products!$D$1:$D$49,,0)</f>
        <v>0.5</v>
      </c>
      <c r="L765" s="7">
        <f>_xlfn.XLOOKUP(D765,products!$A$1:$A$49,products!$E$1:$E$49,,0)</f>
        <v>7.77</v>
      </c>
      <c r="M765" s="7">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IF(_xlfn.XLOOKUP(F766,customers!$B$1:$B$1001,customers!$C$1:$C$1001,,0)=0,"",_xlfn.XLOOKUP(F766,customers!$B$1:$B$1001,customers!$C$1:$C$1001,,0))</f>
        <v>bfolomkinl8@yolasite.com</v>
      </c>
      <c r="H766" s="2" t="str">
        <f>_xlfn.XLOOKUP(C766,customers!$A$1:$A$1001,customers!$G$1:$G$1001,,0)</f>
        <v>United States</v>
      </c>
      <c r="I766" t="str">
        <f>_xlfn.XLOOKUP(D766,products!$A$1:$A$49,products!$B$1:$B$49,,0)</f>
        <v>Ara</v>
      </c>
      <c r="J766" t="str">
        <f>_xlfn.XLOOKUP(D766,products!$A$1:$A$49,products!$C$1:$C$49,,0)</f>
        <v>L</v>
      </c>
      <c r="K766" s="5">
        <f>_xlfn.XLOOKUP(D766,products!$A$1:$A$49,products!$D$1:$D$49,,0)</f>
        <v>2.5</v>
      </c>
      <c r="L766" s="7">
        <f>_xlfn.XLOOKUP(D766,products!$A$1:$A$49,products!$E$1:$E$49,,0)</f>
        <v>29.784999999999997</v>
      </c>
      <c r="M766" s="7">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IF(_xlfn.XLOOKUP(F767,customers!$B$1:$B$1001,customers!$C$1:$C$1001,,0)=0,"",_xlfn.XLOOKUP(F767,customers!$B$1:$B$1001,customers!$C$1:$C$1001,,0))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5">
        <f>_xlfn.XLOOKUP(D767,products!$A$1:$A$49,products!$D$1:$D$49,,0)</f>
        <v>1</v>
      </c>
      <c r="L767" s="7">
        <f>_xlfn.XLOOKUP(D767,products!$A$1:$A$49,products!$E$1:$E$49,,0)</f>
        <v>9.9499999999999993</v>
      </c>
      <c r="M767" s="7">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IF(_xlfn.XLOOKUP(F768,customers!$B$1:$B$1001,customers!$C$1:$C$1001,,0)=0,"",_xlfn.XLOOKUP(F768,customers!$B$1:$B$1001,customers!$C$1:$C$1001,,0))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5">
        <f>_xlfn.XLOOKUP(D768,products!$A$1:$A$49,products!$D$1:$D$49,,0)</f>
        <v>0.5</v>
      </c>
      <c r="L768" s="7">
        <f>_xlfn.XLOOKUP(D768,products!$A$1:$A$49,products!$E$1:$E$49,,0)</f>
        <v>7.77</v>
      </c>
      <c r="M768" s="7">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IF(_xlfn.XLOOKUP(F769,customers!$B$1:$B$1001,customers!$C$1:$C$1001,,0)=0,"",_xlfn.XLOOKUP(F769,customers!$B$1:$B$1001,customers!$C$1:$C$1001,,0))</f>
        <v>fconstancekz@ifeng.com</v>
      </c>
      <c r="H769" s="2" t="str">
        <f>_xlfn.XLOOKUP(C769,customers!$A$1:$A$1001,customers!$G$1:$G$1001,,0)</f>
        <v>United States</v>
      </c>
      <c r="I769" t="str">
        <f>_xlfn.XLOOKUP(D769,products!$A$1:$A$49,products!$B$1:$B$49,,0)</f>
        <v>Ara</v>
      </c>
      <c r="J769" t="str">
        <f>_xlfn.XLOOKUP(D769,products!$A$1:$A$49,products!$C$1:$C$49,,0)</f>
        <v>L</v>
      </c>
      <c r="K769" s="5">
        <f>_xlfn.XLOOKUP(D769,products!$A$1:$A$49,products!$D$1:$D$49,,0)</f>
        <v>2.5</v>
      </c>
      <c r="L769" s="7">
        <f>_xlfn.XLOOKUP(D769,products!$A$1:$A$49,products!$E$1:$E$49,,0)</f>
        <v>29.784999999999997</v>
      </c>
      <c r="M769" s="7">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IF(_xlfn.XLOOKUP(F770,customers!$B$1:$B$1001,customers!$C$1:$C$1001,,0)=0,"",_xlfn.XLOOKUP(F770,customers!$B$1:$B$1001,customers!$C$1:$C$1001,,0))</f>
        <v>fconstancekz@ifeng.com</v>
      </c>
      <c r="H770" s="2" t="str">
        <f>_xlfn.XLOOKUP(C770,customers!$A$1:$A$1001,customers!$G$1:$G$1001,,0)</f>
        <v>United States</v>
      </c>
      <c r="I770" t="str">
        <f>_xlfn.XLOOKUP(D770,products!$A$1:$A$49,products!$B$1:$B$49,,0)</f>
        <v>Rob</v>
      </c>
      <c r="J770" t="str">
        <f>_xlfn.XLOOKUP(D770,products!$A$1:$A$49,products!$C$1:$C$49,,0)</f>
        <v>L</v>
      </c>
      <c r="K770" s="5">
        <f>_xlfn.XLOOKUP(D770,products!$A$1:$A$49,products!$D$1:$D$49,,0)</f>
        <v>1</v>
      </c>
      <c r="L770" s="7">
        <f>_xlfn.XLOOKUP(D770,products!$A$1:$A$49,products!$E$1:$E$49,,0)</f>
        <v>11.95</v>
      </c>
      <c r="M770" s="7">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IF(_xlfn.XLOOKUP(F771,customers!$B$1:$B$1001,customers!$C$1:$C$1001,,0)=0,"",_xlfn.XLOOKUP(F771,customers!$B$1:$B$1001,customers!$C$1:$C$1001,,0))</f>
        <v>deburahld@google.co.jp</v>
      </c>
      <c r="H771" s="2" t="str">
        <f>_xlfn.XLOOKUP(C771,customers!$A$1:$A$1001,customers!$G$1:$G$1001,,0)</f>
        <v>United Kingdom</v>
      </c>
      <c r="I771" t="str">
        <f>_xlfn.XLOOKUP(D771,products!$A$1:$A$49,products!$B$1:$B$49,,0)</f>
        <v>Rob</v>
      </c>
      <c r="J771" t="str">
        <f>_xlfn.XLOOKUP(D771,products!$A$1:$A$49,products!$C$1:$C$49,,0)</f>
        <v>M</v>
      </c>
      <c r="K771" s="5">
        <f>_xlfn.XLOOKUP(D771,products!$A$1:$A$49,products!$D$1:$D$49,,0)</f>
        <v>2.5</v>
      </c>
      <c r="L771" s="7">
        <f>_xlfn.XLOOKUP(D771,products!$A$1:$A$49,products!$E$1:$E$49,,0)</f>
        <v>22.884999999999998</v>
      </c>
      <c r="M771" s="7">
        <f t="shared" ref="M771:M834" si="36">(L771*E771)</f>
        <v>137.31</v>
      </c>
      <c r="N771" t="str">
        <f t="shared" ref="N771:N834" si="37">IF(I771="Rob","Robusta", 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IF(_xlfn.XLOOKUP(F772,customers!$B$1:$B$1001,customers!$C$1:$C$1001,,0)=0,"",_xlfn.XLOOKUP(F772,customers!$B$1:$B$1001,customers!$C$1:$C$1001,,0))</f>
        <v>mbrimilcombele@cnn.com</v>
      </c>
      <c r="H772" s="2" t="str">
        <f>_xlfn.XLOOKUP(C772,customers!$A$1:$A$1001,customers!$G$1:$G$1001,,0)</f>
        <v>United States</v>
      </c>
      <c r="I772" t="str">
        <f>_xlfn.XLOOKUP(D772,products!$A$1:$A$49,products!$B$1:$B$49,,0)</f>
        <v>Ara</v>
      </c>
      <c r="J772" t="str">
        <f>_xlfn.XLOOKUP(D772,products!$A$1:$A$49,products!$C$1:$C$49,,0)</f>
        <v>D</v>
      </c>
      <c r="K772" s="5">
        <f>_xlfn.XLOOKUP(D772,products!$A$1:$A$49,products!$D$1:$D$49,,0)</f>
        <v>1</v>
      </c>
      <c r="L772" s="7">
        <f>_xlfn.XLOOKUP(D772,products!$A$1:$A$49,products!$E$1:$E$49,,0)</f>
        <v>9.9499999999999993</v>
      </c>
      <c r="M772" s="7">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IF(_xlfn.XLOOKUP(F773,customers!$B$1:$B$1001,customers!$C$1:$C$1001,,0)=0,"",_xlfn.XLOOKUP(F773,customers!$B$1:$B$1001,customers!$C$1:$C$1001,,0))</f>
        <v>sbollamlf@list-manage.com</v>
      </c>
      <c r="H773" s="2" t="str">
        <f>_xlfn.XLOOKUP(C773,customers!$A$1:$A$1001,customers!$G$1:$G$1001,,0)</f>
        <v>United States</v>
      </c>
      <c r="I773" t="str">
        <f>_xlfn.XLOOKUP(D773,products!$A$1:$A$49,products!$B$1:$B$49,,0)</f>
        <v>Rob</v>
      </c>
      <c r="J773" t="str">
        <f>_xlfn.XLOOKUP(D773,products!$A$1:$A$49,products!$C$1:$C$49,,0)</f>
        <v>L</v>
      </c>
      <c r="K773" s="5">
        <f>_xlfn.XLOOKUP(D773,products!$A$1:$A$49,products!$D$1:$D$49,,0)</f>
        <v>0.5</v>
      </c>
      <c r="L773" s="7">
        <f>_xlfn.XLOOKUP(D773,products!$A$1:$A$49,products!$E$1:$E$49,,0)</f>
        <v>7.169999999999999</v>
      </c>
      <c r="M773" s="7">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IF(_xlfn.XLOOKUP(F774,customers!$B$1:$B$1001,customers!$C$1:$C$1001,,0)=0,"",_xlfn.XLOOKUP(F774,customers!$B$1:$B$1001,customers!$C$1:$C$1001,,0))</f>
        <v/>
      </c>
      <c r="H774" s="2" t="str">
        <f>_xlfn.XLOOKUP(C774,customers!$A$1:$A$1001,customers!$G$1:$G$1001,,0)</f>
        <v>United States</v>
      </c>
      <c r="I774" t="str">
        <f>_xlfn.XLOOKUP(D774,products!$A$1:$A$49,products!$B$1:$B$49,,0)</f>
        <v>Exc</v>
      </c>
      <c r="J774" t="str">
        <f>_xlfn.XLOOKUP(D774,products!$A$1:$A$49,products!$C$1:$C$49,,0)</f>
        <v>M</v>
      </c>
      <c r="K774" s="5">
        <f>_xlfn.XLOOKUP(D774,products!$A$1:$A$49,products!$D$1:$D$49,,0)</f>
        <v>1</v>
      </c>
      <c r="L774" s="7">
        <f>_xlfn.XLOOKUP(D774,products!$A$1:$A$49,products!$E$1:$E$49,,0)</f>
        <v>13.75</v>
      </c>
      <c r="M774" s="7">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IF(_xlfn.XLOOKUP(F775,customers!$B$1:$B$1001,customers!$C$1:$C$1001,,0)=0,"",_xlfn.XLOOKUP(F775,customers!$B$1:$B$1001,customers!$C$1:$C$1001,,0))</f>
        <v>afilipczaklh@ning.com</v>
      </c>
      <c r="H775" s="2" t="str">
        <f>_xlfn.XLOOKUP(C775,customers!$A$1:$A$1001,customers!$G$1:$G$1001,,0)</f>
        <v>Ireland</v>
      </c>
      <c r="I775" t="str">
        <f>_xlfn.XLOOKUP(D775,products!$A$1:$A$49,products!$B$1:$B$49,,0)</f>
        <v>Lib</v>
      </c>
      <c r="J775" t="str">
        <f>_xlfn.XLOOKUP(D775,products!$A$1:$A$49,products!$C$1:$C$49,,0)</f>
        <v>M</v>
      </c>
      <c r="K775" s="5">
        <f>_xlfn.XLOOKUP(D775,products!$A$1:$A$49,products!$D$1:$D$49,,0)</f>
        <v>0.2</v>
      </c>
      <c r="L775" s="7">
        <f>_xlfn.XLOOKUP(D775,products!$A$1:$A$49,products!$E$1:$E$49,,0)</f>
        <v>4.3650000000000002</v>
      </c>
      <c r="M775" s="7">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IF(_xlfn.XLOOKUP(F776,customers!$B$1:$B$1001,customers!$C$1:$C$1001,,0)=0,"",_xlfn.XLOOKUP(F776,customers!$B$1:$B$1001,customers!$C$1:$C$1001,,0))</f>
        <v/>
      </c>
      <c r="H776" s="2" t="str">
        <f>_xlfn.XLOOKUP(C776,customers!$A$1:$A$1001,customers!$G$1:$G$1001,,0)</f>
        <v>United States</v>
      </c>
      <c r="I776" t="str">
        <f>_xlfn.XLOOKUP(D776,products!$A$1:$A$49,products!$B$1:$B$49,,0)</f>
        <v>Rob</v>
      </c>
      <c r="J776" t="str">
        <f>_xlfn.XLOOKUP(D776,products!$A$1:$A$49,products!$C$1:$C$49,,0)</f>
        <v>M</v>
      </c>
      <c r="K776" s="5">
        <f>_xlfn.XLOOKUP(D776,products!$A$1:$A$49,products!$D$1:$D$49,,0)</f>
        <v>1</v>
      </c>
      <c r="L776" s="7">
        <f>_xlfn.XLOOKUP(D776,products!$A$1:$A$49,products!$E$1:$E$49,,0)</f>
        <v>9.9499999999999993</v>
      </c>
      <c r="M776" s="7">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IF(_xlfn.XLOOKUP(F777,customers!$B$1:$B$1001,customers!$C$1:$C$1001,,0)=0,"",_xlfn.XLOOKUP(F777,customers!$B$1:$B$1001,customers!$C$1:$C$1001,,0))</f>
        <v>relnaughlj@comsenz.com</v>
      </c>
      <c r="H777" s="2" t="str">
        <f>_xlfn.XLOOKUP(C777,customers!$A$1:$A$1001,customers!$G$1:$G$1001,,0)</f>
        <v>United States</v>
      </c>
      <c r="I777" t="str">
        <f>_xlfn.XLOOKUP(D777,products!$A$1:$A$49,products!$B$1:$B$49,,0)</f>
        <v>Exc</v>
      </c>
      <c r="J777" t="str">
        <f>_xlfn.XLOOKUP(D777,products!$A$1:$A$49,products!$C$1:$C$49,,0)</f>
        <v>L</v>
      </c>
      <c r="K777" s="5">
        <f>_xlfn.XLOOKUP(D777,products!$A$1:$A$49,products!$D$1:$D$49,,0)</f>
        <v>0.5</v>
      </c>
      <c r="L777" s="7">
        <f>_xlfn.XLOOKUP(D777,products!$A$1:$A$49,products!$E$1:$E$49,,0)</f>
        <v>8.91</v>
      </c>
      <c r="M777" s="7">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IF(_xlfn.XLOOKUP(F778,customers!$B$1:$B$1001,customers!$C$1:$C$1001,,0)=0,"",_xlfn.XLOOKUP(F778,customers!$B$1:$B$1001,customers!$C$1:$C$1001,,0))</f>
        <v>jdeehanlk@about.me</v>
      </c>
      <c r="H778" s="2" t="str">
        <f>_xlfn.XLOOKUP(C778,customers!$A$1:$A$1001,customers!$G$1:$G$1001,,0)</f>
        <v>United States</v>
      </c>
      <c r="I778" t="str">
        <f>_xlfn.XLOOKUP(D778,products!$A$1:$A$49,products!$B$1:$B$49,,0)</f>
        <v>Ara</v>
      </c>
      <c r="J778" t="str">
        <f>_xlfn.XLOOKUP(D778,products!$A$1:$A$49,products!$C$1:$C$49,,0)</f>
        <v>M</v>
      </c>
      <c r="K778" s="5">
        <f>_xlfn.XLOOKUP(D778,products!$A$1:$A$49,products!$D$1:$D$49,,0)</f>
        <v>0.5</v>
      </c>
      <c r="L778" s="7">
        <f>_xlfn.XLOOKUP(D778,products!$A$1:$A$49,products!$E$1:$E$49,,0)</f>
        <v>6.75</v>
      </c>
      <c r="M778" s="7">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IF(_xlfn.XLOOKUP(F779,customers!$B$1:$B$1001,customers!$C$1:$C$1001,,0)=0,"",_xlfn.XLOOKUP(F779,customers!$B$1:$B$1001,customers!$C$1:$C$1001,,0))</f>
        <v>jedenll@e-recht24.de</v>
      </c>
      <c r="H779" s="2" t="str">
        <f>_xlfn.XLOOKUP(C779,customers!$A$1:$A$1001,customers!$G$1:$G$1001,,0)</f>
        <v>United States</v>
      </c>
      <c r="I779" t="str">
        <f>_xlfn.XLOOKUP(D779,products!$A$1:$A$49,products!$B$1:$B$49,,0)</f>
        <v>Ara</v>
      </c>
      <c r="J779" t="str">
        <f>_xlfn.XLOOKUP(D779,products!$A$1:$A$49,products!$C$1:$C$49,,0)</f>
        <v>L</v>
      </c>
      <c r="K779" s="5">
        <f>_xlfn.XLOOKUP(D779,products!$A$1:$A$49,products!$D$1:$D$49,,0)</f>
        <v>2.5</v>
      </c>
      <c r="L779" s="7">
        <f>_xlfn.XLOOKUP(D779,products!$A$1:$A$49,products!$E$1:$E$49,,0)</f>
        <v>29.784999999999997</v>
      </c>
      <c r="M779" s="7">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IF(_xlfn.XLOOKUP(F780,customers!$B$1:$B$1001,customers!$C$1:$C$1001,,0)=0,"",_xlfn.XLOOKUP(F780,customers!$B$1:$B$1001,customers!$C$1:$C$1001,,0))</f>
        <v>cjewsterlu@moonfruit.com</v>
      </c>
      <c r="H780" s="2" t="str">
        <f>_xlfn.XLOOKUP(C780,customers!$A$1:$A$1001,customers!$G$1:$G$1001,,0)</f>
        <v>United States</v>
      </c>
      <c r="I780" t="str">
        <f>_xlfn.XLOOKUP(D780,products!$A$1:$A$49,products!$B$1:$B$49,,0)</f>
        <v>Lib</v>
      </c>
      <c r="J780" t="str">
        <f>_xlfn.XLOOKUP(D780,products!$A$1:$A$49,products!$C$1:$C$49,,0)</f>
        <v>L</v>
      </c>
      <c r="K780" s="5">
        <f>_xlfn.XLOOKUP(D780,products!$A$1:$A$49,products!$D$1:$D$49,,0)</f>
        <v>0.5</v>
      </c>
      <c r="L780" s="7">
        <f>_xlfn.XLOOKUP(D780,products!$A$1:$A$49,products!$E$1:$E$49,,0)</f>
        <v>9.51</v>
      </c>
      <c r="M780" s="7">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IF(_xlfn.XLOOKUP(F781,customers!$B$1:$B$1001,customers!$C$1:$C$1001,,0)=0,"",_xlfn.XLOOKUP(F781,customers!$B$1:$B$1001,customers!$C$1:$C$1001,,0))</f>
        <v>usoutherdenln@hao123.com</v>
      </c>
      <c r="H781" s="2" t="str">
        <f>_xlfn.XLOOKUP(C781,customers!$A$1:$A$1001,customers!$G$1:$G$1001,,0)</f>
        <v>United States</v>
      </c>
      <c r="I781" t="str">
        <f>_xlfn.XLOOKUP(D781,products!$A$1:$A$49,products!$B$1:$B$49,,0)</f>
        <v>Lib</v>
      </c>
      <c r="J781" t="str">
        <f>_xlfn.XLOOKUP(D781,products!$A$1:$A$49,products!$C$1:$C$49,,0)</f>
        <v>D</v>
      </c>
      <c r="K781" s="5">
        <f>_xlfn.XLOOKUP(D781,products!$A$1:$A$49,products!$D$1:$D$49,,0)</f>
        <v>1</v>
      </c>
      <c r="L781" s="7">
        <f>_xlfn.XLOOKUP(D781,products!$A$1:$A$49,products!$E$1:$E$49,,0)</f>
        <v>12.95</v>
      </c>
      <c r="M781" s="7">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IF(_xlfn.XLOOKUP(F782,customers!$B$1:$B$1001,customers!$C$1:$C$1001,,0)=0,"",_xlfn.XLOOKUP(F782,customers!$B$1:$B$1001,customers!$C$1:$C$1001,,0))</f>
        <v/>
      </c>
      <c r="H782" s="2" t="str">
        <f>_xlfn.XLOOKUP(C782,customers!$A$1:$A$1001,customers!$G$1:$G$1001,,0)</f>
        <v>United States</v>
      </c>
      <c r="I782" t="str">
        <f>_xlfn.XLOOKUP(D782,products!$A$1:$A$49,products!$B$1:$B$49,,0)</f>
        <v>Exc</v>
      </c>
      <c r="J782" t="str">
        <f>_xlfn.XLOOKUP(D782,products!$A$1:$A$49,products!$C$1:$C$49,,0)</f>
        <v>M</v>
      </c>
      <c r="K782" s="5">
        <f>_xlfn.XLOOKUP(D782,products!$A$1:$A$49,products!$D$1:$D$49,,0)</f>
        <v>1</v>
      </c>
      <c r="L782" s="7">
        <f>_xlfn.XLOOKUP(D782,products!$A$1:$A$49,products!$E$1:$E$49,,0)</f>
        <v>13.75</v>
      </c>
      <c r="M782" s="7">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IF(_xlfn.XLOOKUP(F783,customers!$B$1:$B$1001,customers!$C$1:$C$1001,,0)=0,"",_xlfn.XLOOKUP(F783,customers!$B$1:$B$1001,customers!$C$1:$C$1001,,0))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5">
        <f>_xlfn.XLOOKUP(D783,products!$A$1:$A$49,products!$D$1:$D$49,,0)</f>
        <v>2.5</v>
      </c>
      <c r="L783" s="7">
        <f>_xlfn.XLOOKUP(D783,products!$A$1:$A$49,products!$E$1:$E$49,,0)</f>
        <v>36.454999999999998</v>
      </c>
      <c r="M783" s="7">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IF(_xlfn.XLOOKUP(F784,customers!$B$1:$B$1001,customers!$C$1:$C$1001,,0)=0,"",_xlfn.XLOOKUP(F784,customers!$B$1:$B$1001,customers!$C$1:$C$1001,,0))</f>
        <v>agregorattilq@vistaprint.com</v>
      </c>
      <c r="H784" s="2" t="str">
        <f>_xlfn.XLOOKUP(C784,customers!$A$1:$A$1001,customers!$G$1:$G$1001,,0)</f>
        <v>Ireland</v>
      </c>
      <c r="I784" t="str">
        <f>_xlfn.XLOOKUP(D784,products!$A$1:$A$49,products!$B$1:$B$49,,0)</f>
        <v>Exc</v>
      </c>
      <c r="J784" t="str">
        <f>_xlfn.XLOOKUP(D784,products!$A$1:$A$49,products!$C$1:$C$49,,0)</f>
        <v>L</v>
      </c>
      <c r="K784" s="5">
        <f>_xlfn.XLOOKUP(D784,products!$A$1:$A$49,products!$D$1:$D$49,,0)</f>
        <v>0.2</v>
      </c>
      <c r="L784" s="7">
        <f>_xlfn.XLOOKUP(D784,products!$A$1:$A$49,products!$E$1:$E$49,,0)</f>
        <v>4.4550000000000001</v>
      </c>
      <c r="M784" s="7">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IF(_xlfn.XLOOKUP(F785,customers!$B$1:$B$1001,customers!$C$1:$C$1001,,0)=0,"",_xlfn.XLOOKUP(F785,customers!$B$1:$B$1001,customers!$C$1:$C$1001,,0))</f>
        <v>ccrosterlr@gov.uk</v>
      </c>
      <c r="H785" s="2" t="str">
        <f>_xlfn.XLOOKUP(C785,customers!$A$1:$A$1001,customers!$G$1:$G$1001,,0)</f>
        <v>United States</v>
      </c>
      <c r="I785" t="str">
        <f>_xlfn.XLOOKUP(D785,products!$A$1:$A$49,products!$B$1:$B$49,,0)</f>
        <v>Lib</v>
      </c>
      <c r="J785" t="str">
        <f>_xlfn.XLOOKUP(D785,products!$A$1:$A$49,products!$C$1:$C$49,,0)</f>
        <v>M</v>
      </c>
      <c r="K785" s="5">
        <f>_xlfn.XLOOKUP(D785,products!$A$1:$A$49,products!$D$1:$D$49,,0)</f>
        <v>0.5</v>
      </c>
      <c r="L785" s="7">
        <f>_xlfn.XLOOKUP(D785,products!$A$1:$A$49,products!$E$1:$E$49,,0)</f>
        <v>8.73</v>
      </c>
      <c r="M785" s="7">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IF(_xlfn.XLOOKUP(F786,customers!$B$1:$B$1001,customers!$C$1:$C$1001,,0)=0,"",_xlfn.XLOOKUP(F786,customers!$B$1:$B$1001,customers!$C$1:$C$1001,,0))</f>
        <v>gwhiteheadls@hp.com</v>
      </c>
      <c r="H786" s="2" t="str">
        <f>_xlfn.XLOOKUP(C786,customers!$A$1:$A$1001,customers!$G$1:$G$1001,,0)</f>
        <v>United States</v>
      </c>
      <c r="I786" t="str">
        <f>_xlfn.XLOOKUP(D786,products!$A$1:$A$49,products!$B$1:$B$49,,0)</f>
        <v>Lib</v>
      </c>
      <c r="J786" t="str">
        <f>_xlfn.XLOOKUP(D786,products!$A$1:$A$49,products!$C$1:$C$49,,0)</f>
        <v>L</v>
      </c>
      <c r="K786" s="5">
        <f>_xlfn.XLOOKUP(D786,products!$A$1:$A$49,products!$D$1:$D$49,,0)</f>
        <v>1</v>
      </c>
      <c r="L786" s="7">
        <f>_xlfn.XLOOKUP(D786,products!$A$1:$A$49,products!$E$1:$E$49,,0)</f>
        <v>15.85</v>
      </c>
      <c r="M786" s="7">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IF(_xlfn.XLOOKUP(F787,customers!$B$1:$B$1001,customers!$C$1:$C$1001,,0)=0,"",_xlfn.XLOOKUP(F787,customers!$B$1:$B$1001,customers!$C$1:$C$1001,,0))</f>
        <v>hjodrellelt@samsung.com</v>
      </c>
      <c r="H787" s="2" t="str">
        <f>_xlfn.XLOOKUP(C787,customers!$A$1:$A$1001,customers!$G$1:$G$1001,,0)</f>
        <v>United States</v>
      </c>
      <c r="I787" t="str">
        <f>_xlfn.XLOOKUP(D787,products!$A$1:$A$49,products!$B$1:$B$49,,0)</f>
        <v>Ara</v>
      </c>
      <c r="J787" t="str">
        <f>_xlfn.XLOOKUP(D787,products!$A$1:$A$49,products!$C$1:$C$49,,0)</f>
        <v>D</v>
      </c>
      <c r="K787" s="5">
        <f>_xlfn.XLOOKUP(D787,products!$A$1:$A$49,products!$D$1:$D$49,,0)</f>
        <v>2.5</v>
      </c>
      <c r="L787" s="7">
        <f>_xlfn.XLOOKUP(D787,products!$A$1:$A$49,products!$E$1:$E$49,,0)</f>
        <v>22.884999999999998</v>
      </c>
      <c r="M787" s="7">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IF(_xlfn.XLOOKUP(F788,customers!$B$1:$B$1001,customers!$C$1:$C$1001,,0)=0,"",_xlfn.XLOOKUP(F788,customers!$B$1:$B$1001,customers!$C$1:$C$1001,,0))</f>
        <v>cjewsterlu@moonfruit.com</v>
      </c>
      <c r="H788" s="2" t="str">
        <f>_xlfn.XLOOKUP(C788,customers!$A$1:$A$1001,customers!$G$1:$G$1001,,0)</f>
        <v>United States</v>
      </c>
      <c r="I788" t="str">
        <f>_xlfn.XLOOKUP(D788,products!$A$1:$A$49,products!$B$1:$B$49,,0)</f>
        <v>Exc</v>
      </c>
      <c r="J788" t="str">
        <f>_xlfn.XLOOKUP(D788,products!$A$1:$A$49,products!$C$1:$C$49,,0)</f>
        <v>D</v>
      </c>
      <c r="K788" s="5">
        <f>_xlfn.XLOOKUP(D788,products!$A$1:$A$49,products!$D$1:$D$49,,0)</f>
        <v>2.5</v>
      </c>
      <c r="L788" s="7">
        <f>_xlfn.XLOOKUP(D788,products!$A$1:$A$49,products!$E$1:$E$49,,0)</f>
        <v>27.945</v>
      </c>
      <c r="M788" s="7">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IF(_xlfn.XLOOKUP(F789,customers!$B$1:$B$1001,customers!$C$1:$C$1001,,0)=0,"",_xlfn.XLOOKUP(F789,customers!$B$1:$B$1001,customers!$C$1:$C$1001,,0))</f>
        <v/>
      </c>
      <c r="H789" s="2" t="str">
        <f>_xlfn.XLOOKUP(C789,customers!$A$1:$A$1001,customers!$G$1:$G$1001,,0)</f>
        <v>United States</v>
      </c>
      <c r="I789" t="str">
        <f>_xlfn.XLOOKUP(D789,products!$A$1:$A$49,products!$B$1:$B$49,,0)</f>
        <v>Exc</v>
      </c>
      <c r="J789" t="str">
        <f>_xlfn.XLOOKUP(D789,products!$A$1:$A$49,products!$C$1:$C$49,,0)</f>
        <v>M</v>
      </c>
      <c r="K789" s="5">
        <f>_xlfn.XLOOKUP(D789,products!$A$1:$A$49,products!$D$1:$D$49,,0)</f>
        <v>1</v>
      </c>
      <c r="L789" s="7">
        <f>_xlfn.XLOOKUP(D789,products!$A$1:$A$49,products!$E$1:$E$49,,0)</f>
        <v>13.75</v>
      </c>
      <c r="M789" s="7">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IF(_xlfn.XLOOKUP(F790,customers!$B$1:$B$1001,customers!$C$1:$C$1001,,0)=0,"",_xlfn.XLOOKUP(F790,customers!$B$1:$B$1001,customers!$C$1:$C$1001,,0))</f>
        <v>knottramlw@odnoklassniki.ru</v>
      </c>
      <c r="H790" s="2" t="str">
        <f>_xlfn.XLOOKUP(C790,customers!$A$1:$A$1001,customers!$G$1:$G$1001,,0)</f>
        <v>Ireland</v>
      </c>
      <c r="I790" t="str">
        <f>_xlfn.XLOOKUP(D790,products!$A$1:$A$49,products!$B$1:$B$49,,0)</f>
        <v>Rob</v>
      </c>
      <c r="J790" t="str">
        <f>_xlfn.XLOOKUP(D790,products!$A$1:$A$49,products!$C$1:$C$49,,0)</f>
        <v>M</v>
      </c>
      <c r="K790" s="5">
        <f>_xlfn.XLOOKUP(D790,products!$A$1:$A$49,products!$D$1:$D$49,,0)</f>
        <v>2.5</v>
      </c>
      <c r="L790" s="7">
        <f>_xlfn.XLOOKUP(D790,products!$A$1:$A$49,products!$E$1:$E$49,,0)</f>
        <v>22.884999999999998</v>
      </c>
      <c r="M790" s="7">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IF(_xlfn.XLOOKUP(F791,customers!$B$1:$B$1001,customers!$C$1:$C$1001,,0)=0,"",_xlfn.XLOOKUP(F791,customers!$B$1:$B$1001,customers!$C$1:$C$1001,,0))</f>
        <v>nbuneylx@jugem.jp</v>
      </c>
      <c r="H791" s="2" t="str">
        <f>_xlfn.XLOOKUP(C791,customers!$A$1:$A$1001,customers!$G$1:$G$1001,,0)</f>
        <v>United States</v>
      </c>
      <c r="I791" t="str">
        <f>_xlfn.XLOOKUP(D791,products!$A$1:$A$49,products!$B$1:$B$49,,0)</f>
        <v>Ara</v>
      </c>
      <c r="J791" t="str">
        <f>_xlfn.XLOOKUP(D791,products!$A$1:$A$49,products!$C$1:$C$49,,0)</f>
        <v>L</v>
      </c>
      <c r="K791" s="5">
        <f>_xlfn.XLOOKUP(D791,products!$A$1:$A$49,products!$D$1:$D$49,,0)</f>
        <v>1</v>
      </c>
      <c r="L791" s="7">
        <f>_xlfn.XLOOKUP(D791,products!$A$1:$A$49,products!$E$1:$E$49,,0)</f>
        <v>12.95</v>
      </c>
      <c r="M791" s="7">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IF(_xlfn.XLOOKUP(F792,customers!$B$1:$B$1001,customers!$C$1:$C$1001,,0)=0,"",_xlfn.XLOOKUP(F792,customers!$B$1:$B$1001,customers!$C$1:$C$1001,,0))</f>
        <v>smcshealy@photobucket.com</v>
      </c>
      <c r="H792" s="2" t="str">
        <f>_xlfn.XLOOKUP(C792,customers!$A$1:$A$1001,customers!$G$1:$G$1001,,0)</f>
        <v>United States</v>
      </c>
      <c r="I792" t="str">
        <f>_xlfn.XLOOKUP(D792,products!$A$1:$A$49,products!$B$1:$B$49,,0)</f>
        <v>Ara</v>
      </c>
      <c r="J792" t="str">
        <f>_xlfn.XLOOKUP(D792,products!$A$1:$A$49,products!$C$1:$C$49,,0)</f>
        <v>L</v>
      </c>
      <c r="K792" s="5">
        <f>_xlfn.XLOOKUP(D792,products!$A$1:$A$49,products!$D$1:$D$49,,0)</f>
        <v>0.5</v>
      </c>
      <c r="L792" s="7">
        <f>_xlfn.XLOOKUP(D792,products!$A$1:$A$49,products!$E$1:$E$49,,0)</f>
        <v>7.77</v>
      </c>
      <c r="M792" s="7">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IF(_xlfn.XLOOKUP(F793,customers!$B$1:$B$1001,customers!$C$1:$C$1001,,0)=0,"",_xlfn.XLOOKUP(F793,customers!$B$1:$B$1001,customers!$C$1:$C$1001,,0))</f>
        <v>khuddartlz@about.com</v>
      </c>
      <c r="H793" s="2" t="str">
        <f>_xlfn.XLOOKUP(C793,customers!$A$1:$A$1001,customers!$G$1:$G$1001,,0)</f>
        <v>United States</v>
      </c>
      <c r="I793" t="str">
        <f>_xlfn.XLOOKUP(D793,products!$A$1:$A$49,products!$B$1:$B$49,,0)</f>
        <v>Lib</v>
      </c>
      <c r="J793" t="str">
        <f>_xlfn.XLOOKUP(D793,products!$A$1:$A$49,products!$C$1:$C$49,,0)</f>
        <v>L</v>
      </c>
      <c r="K793" s="5">
        <f>_xlfn.XLOOKUP(D793,products!$A$1:$A$49,products!$D$1:$D$49,,0)</f>
        <v>0.2</v>
      </c>
      <c r="L793" s="7">
        <f>_xlfn.XLOOKUP(D793,products!$A$1:$A$49,products!$E$1:$E$49,,0)</f>
        <v>4.7549999999999999</v>
      </c>
      <c r="M793" s="7">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IF(_xlfn.XLOOKUP(F794,customers!$B$1:$B$1001,customers!$C$1:$C$1001,,0)=0,"",_xlfn.XLOOKUP(F794,customers!$B$1:$B$1001,customers!$C$1:$C$1001,,0))</f>
        <v>jgippesm0@cloudflare.com</v>
      </c>
      <c r="H794" s="2" t="str">
        <f>_xlfn.XLOOKUP(C794,customers!$A$1:$A$1001,customers!$G$1:$G$1001,,0)</f>
        <v>United Kingdom</v>
      </c>
      <c r="I794" t="str">
        <f>_xlfn.XLOOKUP(D794,products!$A$1:$A$49,products!$B$1:$B$49,,0)</f>
        <v>Lib</v>
      </c>
      <c r="J794" t="str">
        <f>_xlfn.XLOOKUP(D794,products!$A$1:$A$49,products!$C$1:$C$49,,0)</f>
        <v>M</v>
      </c>
      <c r="K794" s="5">
        <f>_xlfn.XLOOKUP(D794,products!$A$1:$A$49,products!$D$1:$D$49,,0)</f>
        <v>0.5</v>
      </c>
      <c r="L794" s="7">
        <f>_xlfn.XLOOKUP(D794,products!$A$1:$A$49,products!$E$1:$E$49,,0)</f>
        <v>8.73</v>
      </c>
      <c r="M794" s="7">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IF(_xlfn.XLOOKUP(F795,customers!$B$1:$B$1001,customers!$C$1:$C$1001,,0)=0,"",_xlfn.XLOOKUP(F795,customers!$B$1:$B$1001,customers!$C$1:$C$1001,,0))</f>
        <v>lwhittleseem1@e-recht24.de</v>
      </c>
      <c r="H795" s="2" t="str">
        <f>_xlfn.XLOOKUP(C795,customers!$A$1:$A$1001,customers!$G$1:$G$1001,,0)</f>
        <v>United States</v>
      </c>
      <c r="I795" t="str">
        <f>_xlfn.XLOOKUP(D795,products!$A$1:$A$49,products!$B$1:$B$49,,0)</f>
        <v>Rob</v>
      </c>
      <c r="J795" t="str">
        <f>_xlfn.XLOOKUP(D795,products!$A$1:$A$49,products!$C$1:$C$49,,0)</f>
        <v>L</v>
      </c>
      <c r="K795" s="5">
        <f>_xlfn.XLOOKUP(D795,products!$A$1:$A$49,products!$D$1:$D$49,,0)</f>
        <v>0.2</v>
      </c>
      <c r="L795" s="7">
        <f>_xlfn.XLOOKUP(D795,products!$A$1:$A$49,products!$E$1:$E$49,,0)</f>
        <v>3.5849999999999995</v>
      </c>
      <c r="M795" s="7">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IF(_xlfn.XLOOKUP(F796,customers!$B$1:$B$1001,customers!$C$1:$C$1001,,0)=0,"",_xlfn.XLOOKUP(F796,customers!$B$1:$B$1001,customers!$C$1:$C$1001,,0))</f>
        <v>gtrengrovem2@elpais.com</v>
      </c>
      <c r="H796" s="2" t="str">
        <f>_xlfn.XLOOKUP(C796,customers!$A$1:$A$1001,customers!$G$1:$G$1001,,0)</f>
        <v>United States</v>
      </c>
      <c r="I796" t="str">
        <f>_xlfn.XLOOKUP(D796,products!$A$1:$A$49,products!$B$1:$B$49,,0)</f>
        <v>Ara</v>
      </c>
      <c r="J796" t="str">
        <f>_xlfn.XLOOKUP(D796,products!$A$1:$A$49,products!$C$1:$C$49,,0)</f>
        <v>L</v>
      </c>
      <c r="K796" s="5">
        <f>_xlfn.XLOOKUP(D796,products!$A$1:$A$49,products!$D$1:$D$49,,0)</f>
        <v>2.5</v>
      </c>
      <c r="L796" s="7">
        <f>_xlfn.XLOOKUP(D796,products!$A$1:$A$49,products!$E$1:$E$49,,0)</f>
        <v>29.784999999999997</v>
      </c>
      <c r="M796" s="7">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IF(_xlfn.XLOOKUP(F797,customers!$B$1:$B$1001,customers!$C$1:$C$1001,,0)=0,"",_xlfn.XLOOKUP(F797,customers!$B$1:$B$1001,customers!$C$1:$C$1001,,0))</f>
        <v>wcalderom3@stumbleupon.com</v>
      </c>
      <c r="H797" s="2" t="str">
        <f>_xlfn.XLOOKUP(C797,customers!$A$1:$A$1001,customers!$G$1:$G$1001,,0)</f>
        <v>United States</v>
      </c>
      <c r="I797" t="str">
        <f>_xlfn.XLOOKUP(D797,products!$A$1:$A$49,products!$B$1:$B$49,,0)</f>
        <v>Rob</v>
      </c>
      <c r="J797" t="str">
        <f>_xlfn.XLOOKUP(D797,products!$A$1:$A$49,products!$C$1:$C$49,,0)</f>
        <v>L</v>
      </c>
      <c r="K797" s="5">
        <f>_xlfn.XLOOKUP(D797,products!$A$1:$A$49,products!$D$1:$D$49,,0)</f>
        <v>0.5</v>
      </c>
      <c r="L797" s="7">
        <f>_xlfn.XLOOKUP(D797,products!$A$1:$A$49,products!$E$1:$E$49,,0)</f>
        <v>7.169999999999999</v>
      </c>
      <c r="M797" s="7">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IF(_xlfn.XLOOKUP(F798,customers!$B$1:$B$1001,customers!$C$1:$C$1001,,0)=0,"",_xlfn.XLOOKUP(F798,customers!$B$1:$B$1001,customers!$C$1:$C$1001,,0))</f>
        <v/>
      </c>
      <c r="H798" s="2" t="str">
        <f>_xlfn.XLOOKUP(C798,customers!$A$1:$A$1001,customers!$G$1:$G$1001,,0)</f>
        <v>United States</v>
      </c>
      <c r="I798" t="str">
        <f>_xlfn.XLOOKUP(D798,products!$A$1:$A$49,products!$B$1:$B$49,,0)</f>
        <v>Lib</v>
      </c>
      <c r="J798" t="str">
        <f>_xlfn.XLOOKUP(D798,products!$A$1:$A$49,products!$C$1:$C$49,,0)</f>
        <v>L</v>
      </c>
      <c r="K798" s="5">
        <f>_xlfn.XLOOKUP(D798,products!$A$1:$A$49,products!$D$1:$D$49,,0)</f>
        <v>0.5</v>
      </c>
      <c r="L798" s="7">
        <f>_xlfn.XLOOKUP(D798,products!$A$1:$A$49,products!$E$1:$E$49,,0)</f>
        <v>9.51</v>
      </c>
      <c r="M798" s="7">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IF(_xlfn.XLOOKUP(F799,customers!$B$1:$B$1001,customers!$C$1:$C$1001,,0)=0,"",_xlfn.XLOOKUP(F799,customers!$B$1:$B$1001,customers!$C$1:$C$1001,,0))</f>
        <v>jkennicottm5@yahoo.co.jp</v>
      </c>
      <c r="H799" s="2" t="str">
        <f>_xlfn.XLOOKUP(C799,customers!$A$1:$A$1001,customers!$G$1:$G$1001,,0)</f>
        <v>United States</v>
      </c>
      <c r="I799" t="str">
        <f>_xlfn.XLOOKUP(D799,products!$A$1:$A$49,products!$B$1:$B$49,,0)</f>
        <v>Ara</v>
      </c>
      <c r="J799" t="str">
        <f>_xlfn.XLOOKUP(D799,products!$A$1:$A$49,products!$C$1:$C$49,,0)</f>
        <v>L</v>
      </c>
      <c r="K799" s="5">
        <f>_xlfn.XLOOKUP(D799,products!$A$1:$A$49,products!$D$1:$D$49,,0)</f>
        <v>0.5</v>
      </c>
      <c r="L799" s="7">
        <f>_xlfn.XLOOKUP(D799,products!$A$1:$A$49,products!$E$1:$E$49,,0)</f>
        <v>7.77</v>
      </c>
      <c r="M799" s="7">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IF(_xlfn.XLOOKUP(F800,customers!$B$1:$B$1001,customers!$C$1:$C$1001,,0)=0,"",_xlfn.XLOOKUP(F800,customers!$B$1:$B$1001,customers!$C$1:$C$1001,,0))</f>
        <v>gruggenm6@nymag.com</v>
      </c>
      <c r="H800" s="2" t="str">
        <f>_xlfn.XLOOKUP(C800,customers!$A$1:$A$1001,customers!$G$1:$G$1001,,0)</f>
        <v>United States</v>
      </c>
      <c r="I800" t="str">
        <f>_xlfn.XLOOKUP(D800,products!$A$1:$A$49,products!$B$1:$B$49,,0)</f>
        <v>Rob</v>
      </c>
      <c r="J800" t="str">
        <f>_xlfn.XLOOKUP(D800,products!$A$1:$A$49,products!$C$1:$C$49,,0)</f>
        <v>D</v>
      </c>
      <c r="K800" s="5">
        <f>_xlfn.XLOOKUP(D800,products!$A$1:$A$49,products!$D$1:$D$49,,0)</f>
        <v>0.2</v>
      </c>
      <c r="L800" s="7">
        <f>_xlfn.XLOOKUP(D800,products!$A$1:$A$49,products!$E$1:$E$49,,0)</f>
        <v>2.6849999999999996</v>
      </c>
      <c r="M800" s="7">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IF(_xlfn.XLOOKUP(F801,customers!$B$1:$B$1001,customers!$C$1:$C$1001,,0)=0,"",_xlfn.XLOOKUP(F801,customers!$B$1:$B$1001,customers!$C$1:$C$1001,,0))</f>
        <v/>
      </c>
      <c r="H801" s="2" t="str">
        <f>_xlfn.XLOOKUP(C801,customers!$A$1:$A$1001,customers!$G$1:$G$1001,,0)</f>
        <v>United States</v>
      </c>
      <c r="I801" t="str">
        <f>_xlfn.XLOOKUP(D801,products!$A$1:$A$49,products!$B$1:$B$49,,0)</f>
        <v>Exc</v>
      </c>
      <c r="J801" t="str">
        <f>_xlfn.XLOOKUP(D801,products!$A$1:$A$49,products!$C$1:$C$49,,0)</f>
        <v>D</v>
      </c>
      <c r="K801" s="5">
        <f>_xlfn.XLOOKUP(D801,products!$A$1:$A$49,products!$D$1:$D$49,,0)</f>
        <v>1</v>
      </c>
      <c r="L801" s="7">
        <f>_xlfn.XLOOKUP(D801,products!$A$1:$A$49,products!$E$1:$E$49,,0)</f>
        <v>12.15</v>
      </c>
      <c r="M801" s="7">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IF(_xlfn.XLOOKUP(F802,customers!$B$1:$B$1001,customers!$C$1:$C$1001,,0)=0,"",_xlfn.XLOOKUP(F802,customers!$B$1:$B$1001,customers!$C$1:$C$1001,,0))</f>
        <v>mfrightm8@harvard.edu</v>
      </c>
      <c r="H802" s="2" t="str">
        <f>_xlfn.XLOOKUP(C802,customers!$A$1:$A$1001,customers!$G$1:$G$1001,,0)</f>
        <v>Ireland</v>
      </c>
      <c r="I802" t="str">
        <f>_xlfn.XLOOKUP(D802,products!$A$1:$A$49,products!$B$1:$B$49,,0)</f>
        <v>Rob</v>
      </c>
      <c r="J802" t="str">
        <f>_xlfn.XLOOKUP(D802,products!$A$1:$A$49,products!$C$1:$C$49,,0)</f>
        <v>D</v>
      </c>
      <c r="K802" s="5">
        <f>_xlfn.XLOOKUP(D802,products!$A$1:$A$49,products!$D$1:$D$49,,0)</f>
        <v>0.2</v>
      </c>
      <c r="L802" s="7">
        <f>_xlfn.XLOOKUP(D802,products!$A$1:$A$49,products!$E$1:$E$49,,0)</f>
        <v>2.6849999999999996</v>
      </c>
      <c r="M802" s="7">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IF(_xlfn.XLOOKUP(F803,customers!$B$1:$B$1001,customers!$C$1:$C$1001,,0)=0,"",_xlfn.XLOOKUP(F803,customers!$B$1:$B$1001,customers!$C$1:$C$1001,,0))</f>
        <v>btartem9@aol.com</v>
      </c>
      <c r="H803" s="2" t="str">
        <f>_xlfn.XLOOKUP(C803,customers!$A$1:$A$1001,customers!$G$1:$G$1001,,0)</f>
        <v>United States</v>
      </c>
      <c r="I803" t="str">
        <f>_xlfn.XLOOKUP(D803,products!$A$1:$A$49,products!$B$1:$B$49,,0)</f>
        <v>Rob</v>
      </c>
      <c r="J803" t="str">
        <f>_xlfn.XLOOKUP(D803,products!$A$1:$A$49,products!$C$1:$C$49,,0)</f>
        <v>D</v>
      </c>
      <c r="K803" s="5">
        <f>_xlfn.XLOOKUP(D803,products!$A$1:$A$49,products!$D$1:$D$49,,0)</f>
        <v>2.5</v>
      </c>
      <c r="L803" s="7">
        <f>_xlfn.XLOOKUP(D803,products!$A$1:$A$49,products!$E$1:$E$49,,0)</f>
        <v>20.584999999999997</v>
      </c>
      <c r="M803" s="7">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IF(_xlfn.XLOOKUP(F804,customers!$B$1:$B$1001,customers!$C$1:$C$1001,,0)=0,"",_xlfn.XLOOKUP(F804,customers!$B$1:$B$1001,customers!$C$1:$C$1001,,0))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5">
        <f>_xlfn.XLOOKUP(D804,products!$A$1:$A$49,products!$D$1:$D$49,,0)</f>
        <v>0.2</v>
      </c>
      <c r="L804" s="7">
        <f>_xlfn.XLOOKUP(D804,products!$A$1:$A$49,products!$E$1:$E$49,,0)</f>
        <v>2.6849999999999996</v>
      </c>
      <c r="M804" s="7">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IF(_xlfn.XLOOKUP(F805,customers!$B$1:$B$1001,customers!$C$1:$C$1001,,0)=0,"",_xlfn.XLOOKUP(F805,customers!$B$1:$B$1001,customers!$C$1:$C$1001,,0))</f>
        <v>dpenquetmb@diigo.com</v>
      </c>
      <c r="H805" s="2" t="str">
        <f>_xlfn.XLOOKUP(C805,customers!$A$1:$A$1001,customers!$G$1:$G$1001,,0)</f>
        <v>United States</v>
      </c>
      <c r="I805" t="str">
        <f>_xlfn.XLOOKUP(D805,products!$A$1:$A$49,products!$B$1:$B$49,,0)</f>
        <v>Exc</v>
      </c>
      <c r="J805" t="str">
        <f>_xlfn.XLOOKUP(D805,products!$A$1:$A$49,products!$C$1:$C$49,,0)</f>
        <v>M</v>
      </c>
      <c r="K805" s="5">
        <f>_xlfn.XLOOKUP(D805,products!$A$1:$A$49,products!$D$1:$D$49,,0)</f>
        <v>2.5</v>
      </c>
      <c r="L805" s="7">
        <f>_xlfn.XLOOKUP(D805,products!$A$1:$A$49,products!$E$1:$E$49,,0)</f>
        <v>31.624999999999996</v>
      </c>
      <c r="M805" s="7">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IF(_xlfn.XLOOKUP(F806,customers!$B$1:$B$1001,customers!$C$1:$C$1001,,0)=0,"",_xlfn.XLOOKUP(F806,customers!$B$1:$B$1001,customers!$C$1:$C$1001,,0))</f>
        <v/>
      </c>
      <c r="H806" s="2" t="str">
        <f>_xlfn.XLOOKUP(C806,customers!$A$1:$A$1001,customers!$G$1:$G$1001,,0)</f>
        <v>United Kingdom</v>
      </c>
      <c r="I806" t="str">
        <f>_xlfn.XLOOKUP(D806,products!$A$1:$A$49,products!$B$1:$B$49,,0)</f>
        <v>Rob</v>
      </c>
      <c r="J806" t="str">
        <f>_xlfn.XLOOKUP(D806,products!$A$1:$A$49,products!$C$1:$C$49,,0)</f>
        <v>L</v>
      </c>
      <c r="K806" s="5">
        <f>_xlfn.XLOOKUP(D806,products!$A$1:$A$49,products!$D$1:$D$49,,0)</f>
        <v>1</v>
      </c>
      <c r="L806" s="7">
        <f>_xlfn.XLOOKUP(D806,products!$A$1:$A$49,products!$E$1:$E$49,,0)</f>
        <v>11.95</v>
      </c>
      <c r="M806" s="7">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IF(_xlfn.XLOOKUP(F807,customers!$B$1:$B$1001,customers!$C$1:$C$1001,,0)=0,"",_xlfn.XLOOKUP(F807,customers!$B$1:$B$1001,customers!$C$1:$C$1001,,0))</f>
        <v/>
      </c>
      <c r="H807" s="2" t="str">
        <f>_xlfn.XLOOKUP(C807,customers!$A$1:$A$1001,customers!$G$1:$G$1001,,0)</f>
        <v>United States</v>
      </c>
      <c r="I807" t="str">
        <f>_xlfn.XLOOKUP(D807,products!$A$1:$A$49,products!$B$1:$B$49,,0)</f>
        <v>Rob</v>
      </c>
      <c r="J807" t="str">
        <f>_xlfn.XLOOKUP(D807,products!$A$1:$A$49,products!$C$1:$C$49,,0)</f>
        <v>M</v>
      </c>
      <c r="K807" s="5">
        <f>_xlfn.XLOOKUP(D807,products!$A$1:$A$49,products!$D$1:$D$49,,0)</f>
        <v>0.5</v>
      </c>
      <c r="L807" s="7">
        <f>_xlfn.XLOOKUP(D807,products!$A$1:$A$49,products!$E$1:$E$49,,0)</f>
        <v>5.97</v>
      </c>
      <c r="M807" s="7">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IF(_xlfn.XLOOKUP(F808,customers!$B$1:$B$1001,customers!$C$1:$C$1001,,0)=0,"",_xlfn.XLOOKUP(F808,customers!$B$1:$B$1001,customers!$C$1:$C$1001,,0))</f>
        <v/>
      </c>
      <c r="H808" s="2" t="str">
        <f>_xlfn.XLOOKUP(C808,customers!$A$1:$A$1001,customers!$G$1:$G$1001,,0)</f>
        <v>United Kingdom</v>
      </c>
      <c r="I808" t="str">
        <f>_xlfn.XLOOKUP(D808,products!$A$1:$A$49,products!$B$1:$B$49,,0)</f>
        <v>Lib</v>
      </c>
      <c r="J808" t="str">
        <f>_xlfn.XLOOKUP(D808,products!$A$1:$A$49,products!$C$1:$C$49,,0)</f>
        <v>D</v>
      </c>
      <c r="K808" s="5">
        <f>_xlfn.XLOOKUP(D808,products!$A$1:$A$49,products!$D$1:$D$49,,0)</f>
        <v>0.2</v>
      </c>
      <c r="L808" s="7">
        <f>_xlfn.XLOOKUP(D808,products!$A$1:$A$49,products!$E$1:$E$49,,0)</f>
        <v>3.8849999999999998</v>
      </c>
      <c r="M808" s="7">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IF(_xlfn.XLOOKUP(F809,customers!$B$1:$B$1001,customers!$C$1:$C$1001,,0)=0,"",_xlfn.XLOOKUP(F809,customers!$B$1:$B$1001,customers!$C$1:$C$1001,,0))</f>
        <v>kferrettimf@huffingtonpost.com</v>
      </c>
      <c r="H809" s="2" t="str">
        <f>_xlfn.XLOOKUP(C809,customers!$A$1:$A$1001,customers!$G$1:$G$1001,,0)</f>
        <v>Ireland</v>
      </c>
      <c r="I809" t="str">
        <f>_xlfn.XLOOKUP(D809,products!$A$1:$A$49,products!$B$1:$B$49,,0)</f>
        <v>Lib</v>
      </c>
      <c r="J809" t="str">
        <f>_xlfn.XLOOKUP(D809,products!$A$1:$A$49,products!$C$1:$C$49,,0)</f>
        <v>D</v>
      </c>
      <c r="K809" s="5">
        <f>_xlfn.XLOOKUP(D809,products!$A$1:$A$49,products!$D$1:$D$49,,0)</f>
        <v>0.5</v>
      </c>
      <c r="L809" s="7">
        <f>_xlfn.XLOOKUP(D809,products!$A$1:$A$49,products!$E$1:$E$49,,0)</f>
        <v>7.77</v>
      </c>
      <c r="M809" s="7">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IF(_xlfn.XLOOKUP(F810,customers!$B$1:$B$1001,customers!$C$1:$C$1001,,0)=0,"",_xlfn.XLOOKUP(F810,customers!$B$1:$B$1001,customers!$C$1:$C$1001,,0))</f>
        <v/>
      </c>
      <c r="H810" s="2" t="str">
        <f>_xlfn.XLOOKUP(C810,customers!$A$1:$A$1001,customers!$G$1:$G$1001,,0)</f>
        <v>United States</v>
      </c>
      <c r="I810" t="str">
        <f>_xlfn.XLOOKUP(D810,products!$A$1:$A$49,products!$B$1:$B$49,,0)</f>
        <v>Rob</v>
      </c>
      <c r="J810" t="str">
        <f>_xlfn.XLOOKUP(D810,products!$A$1:$A$49,products!$C$1:$C$49,,0)</f>
        <v>L</v>
      </c>
      <c r="K810" s="5">
        <f>_xlfn.XLOOKUP(D810,products!$A$1:$A$49,products!$D$1:$D$49,,0)</f>
        <v>2.5</v>
      </c>
      <c r="L810" s="7">
        <f>_xlfn.XLOOKUP(D810,products!$A$1:$A$49,products!$E$1:$E$49,,0)</f>
        <v>27.484999999999996</v>
      </c>
      <c r="M810" s="7">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IF(_xlfn.XLOOKUP(F811,customers!$B$1:$B$1001,customers!$C$1:$C$1001,,0)=0,"",_xlfn.XLOOKUP(F811,customers!$B$1:$B$1001,customers!$C$1:$C$1001,,0))</f>
        <v/>
      </c>
      <c r="H811" s="2" t="str">
        <f>_xlfn.XLOOKUP(C811,customers!$A$1:$A$1001,customers!$G$1:$G$1001,,0)</f>
        <v>United States</v>
      </c>
      <c r="I811" t="str">
        <f>_xlfn.XLOOKUP(D811,products!$A$1:$A$49,products!$B$1:$B$49,,0)</f>
        <v>Rob</v>
      </c>
      <c r="J811" t="str">
        <f>_xlfn.XLOOKUP(D811,products!$A$1:$A$49,products!$C$1:$C$49,,0)</f>
        <v>D</v>
      </c>
      <c r="K811" s="5">
        <f>_xlfn.XLOOKUP(D811,products!$A$1:$A$49,products!$D$1:$D$49,,0)</f>
        <v>0.2</v>
      </c>
      <c r="L811" s="7">
        <f>_xlfn.XLOOKUP(D811,products!$A$1:$A$49,products!$E$1:$E$49,,0)</f>
        <v>2.6849999999999996</v>
      </c>
      <c r="M811" s="7">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IF(_xlfn.XLOOKUP(F812,customers!$B$1:$B$1001,customers!$C$1:$C$1001,,0)=0,"",_xlfn.XLOOKUP(F812,customers!$B$1:$B$1001,customers!$C$1:$C$1001,,0))</f>
        <v>abalsdonemi@toplist.cz</v>
      </c>
      <c r="H812" s="2" t="str">
        <f>_xlfn.XLOOKUP(C812,customers!$A$1:$A$1001,customers!$G$1:$G$1001,,0)</f>
        <v>United States</v>
      </c>
      <c r="I812" t="str">
        <f>_xlfn.XLOOKUP(D812,products!$A$1:$A$49,products!$B$1:$B$49,,0)</f>
        <v>Lib</v>
      </c>
      <c r="J812" t="str">
        <f>_xlfn.XLOOKUP(D812,products!$A$1:$A$49,products!$C$1:$C$49,,0)</f>
        <v>L</v>
      </c>
      <c r="K812" s="5">
        <f>_xlfn.XLOOKUP(D812,products!$A$1:$A$49,products!$D$1:$D$49,,0)</f>
        <v>0.5</v>
      </c>
      <c r="L812" s="7">
        <f>_xlfn.XLOOKUP(D812,products!$A$1:$A$49,products!$E$1:$E$49,,0)</f>
        <v>9.51</v>
      </c>
      <c r="M812" s="7">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IF(_xlfn.XLOOKUP(F813,customers!$B$1:$B$1001,customers!$C$1:$C$1001,,0)=0,"",_xlfn.XLOOKUP(F813,customers!$B$1:$B$1001,customers!$C$1:$C$1001,,0))</f>
        <v>bromeramj@list-manage.com</v>
      </c>
      <c r="H813" s="2" t="str">
        <f>_xlfn.XLOOKUP(C813,customers!$A$1:$A$1001,customers!$G$1:$G$1001,,0)</f>
        <v>Ireland</v>
      </c>
      <c r="I813" t="str">
        <f>_xlfn.XLOOKUP(D813,products!$A$1:$A$49,products!$B$1:$B$49,,0)</f>
        <v>Ara</v>
      </c>
      <c r="J813" t="str">
        <f>_xlfn.XLOOKUP(D813,products!$A$1:$A$49,products!$C$1:$C$49,,0)</f>
        <v>M</v>
      </c>
      <c r="K813" s="5">
        <f>_xlfn.XLOOKUP(D813,products!$A$1:$A$49,products!$D$1:$D$49,,0)</f>
        <v>1</v>
      </c>
      <c r="L813" s="7">
        <f>_xlfn.XLOOKUP(D813,products!$A$1:$A$49,products!$E$1:$E$49,,0)</f>
        <v>11.25</v>
      </c>
      <c r="M813" s="7">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IF(_xlfn.XLOOKUP(F814,customers!$B$1:$B$1001,customers!$C$1:$C$1001,,0)=0,"",_xlfn.XLOOKUP(F814,customers!$B$1:$B$1001,customers!$C$1:$C$1001,,0))</f>
        <v>bromeramj@list-manage.com</v>
      </c>
      <c r="H814" s="2" t="str">
        <f>_xlfn.XLOOKUP(C814,customers!$A$1:$A$1001,customers!$G$1:$G$1001,,0)</f>
        <v>Ireland</v>
      </c>
      <c r="I814" t="str">
        <f>_xlfn.XLOOKUP(D814,products!$A$1:$A$49,products!$B$1:$B$49,,0)</f>
        <v>Lib</v>
      </c>
      <c r="J814" t="str">
        <f>_xlfn.XLOOKUP(D814,products!$A$1:$A$49,products!$C$1:$C$49,,0)</f>
        <v>D</v>
      </c>
      <c r="K814" s="5">
        <f>_xlfn.XLOOKUP(D814,products!$A$1:$A$49,products!$D$1:$D$49,,0)</f>
        <v>2.5</v>
      </c>
      <c r="L814" s="7">
        <f>_xlfn.XLOOKUP(D814,products!$A$1:$A$49,products!$E$1:$E$49,,0)</f>
        <v>29.784999999999997</v>
      </c>
      <c r="M814" s="7">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IF(_xlfn.XLOOKUP(F815,customers!$B$1:$B$1001,customers!$C$1:$C$1001,,0)=0,"",_xlfn.XLOOKUP(F815,customers!$B$1:$B$1001,customers!$C$1:$C$1001,,0))</f>
        <v>cbrydeml@tuttocitta.it</v>
      </c>
      <c r="H815" s="2" t="str">
        <f>_xlfn.XLOOKUP(C815,customers!$A$1:$A$1001,customers!$G$1:$G$1001,,0)</f>
        <v>United States</v>
      </c>
      <c r="I815" t="str">
        <f>_xlfn.XLOOKUP(D815,products!$A$1:$A$49,products!$B$1:$B$49,,0)</f>
        <v>Exc</v>
      </c>
      <c r="J815" t="str">
        <f>_xlfn.XLOOKUP(D815,products!$A$1:$A$49,products!$C$1:$C$49,,0)</f>
        <v>M</v>
      </c>
      <c r="K815" s="5">
        <f>_xlfn.XLOOKUP(D815,products!$A$1:$A$49,products!$D$1:$D$49,,0)</f>
        <v>2.5</v>
      </c>
      <c r="L815" s="7">
        <f>_xlfn.XLOOKUP(D815,products!$A$1:$A$49,products!$E$1:$E$49,,0)</f>
        <v>31.624999999999996</v>
      </c>
      <c r="M815" s="7">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IF(_xlfn.XLOOKUP(F816,customers!$B$1:$B$1001,customers!$C$1:$C$1001,,0)=0,"",_xlfn.XLOOKUP(F816,customers!$B$1:$B$1001,customers!$C$1:$C$1001,,0))</f>
        <v>senefermm@blog.com</v>
      </c>
      <c r="H816" s="2" t="str">
        <f>_xlfn.XLOOKUP(C816,customers!$A$1:$A$1001,customers!$G$1:$G$1001,,0)</f>
        <v>United States</v>
      </c>
      <c r="I816" t="str">
        <f>_xlfn.XLOOKUP(D816,products!$A$1:$A$49,products!$B$1:$B$49,,0)</f>
        <v>Exc</v>
      </c>
      <c r="J816" t="str">
        <f>_xlfn.XLOOKUP(D816,products!$A$1:$A$49,products!$C$1:$C$49,,0)</f>
        <v>L</v>
      </c>
      <c r="K816" s="5">
        <f>_xlfn.XLOOKUP(D816,products!$A$1:$A$49,products!$D$1:$D$49,,0)</f>
        <v>0.2</v>
      </c>
      <c r="L816" s="7">
        <f>_xlfn.XLOOKUP(D816,products!$A$1:$A$49,products!$E$1:$E$49,,0)</f>
        <v>4.4550000000000001</v>
      </c>
      <c r="M816" s="7">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IF(_xlfn.XLOOKUP(F817,customers!$B$1:$B$1001,customers!$C$1:$C$1001,,0)=0,"",_xlfn.XLOOKUP(F817,customers!$B$1:$B$1001,customers!$C$1:$C$1001,,0))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5">
        <f>_xlfn.XLOOKUP(D817,products!$A$1:$A$49,products!$D$1:$D$49,,0)</f>
        <v>0.5</v>
      </c>
      <c r="L817" s="7">
        <f>_xlfn.XLOOKUP(D817,products!$A$1:$A$49,products!$E$1:$E$49,,0)</f>
        <v>5.97</v>
      </c>
      <c r="M817" s="7">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IF(_xlfn.XLOOKUP(F818,customers!$B$1:$B$1001,customers!$C$1:$C$1001,,0)=0,"",_xlfn.XLOOKUP(F818,customers!$B$1:$B$1001,customers!$C$1:$C$1001,,0))</f>
        <v>mgundrymo@omniture.com</v>
      </c>
      <c r="H818" s="2" t="str">
        <f>_xlfn.XLOOKUP(C818,customers!$A$1:$A$1001,customers!$G$1:$G$1001,,0)</f>
        <v>Ireland</v>
      </c>
      <c r="I818" t="str">
        <f>_xlfn.XLOOKUP(D818,products!$A$1:$A$49,products!$B$1:$B$49,,0)</f>
        <v>Lib</v>
      </c>
      <c r="J818" t="str">
        <f>_xlfn.XLOOKUP(D818,products!$A$1:$A$49,products!$C$1:$C$49,,0)</f>
        <v>L</v>
      </c>
      <c r="K818" s="5">
        <f>_xlfn.XLOOKUP(D818,products!$A$1:$A$49,products!$D$1:$D$49,,0)</f>
        <v>0.5</v>
      </c>
      <c r="L818" s="7">
        <f>_xlfn.XLOOKUP(D818,products!$A$1:$A$49,products!$E$1:$E$49,,0)</f>
        <v>9.51</v>
      </c>
      <c r="M818" s="7">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IF(_xlfn.XLOOKUP(F819,customers!$B$1:$B$1001,customers!$C$1:$C$1001,,0)=0,"",_xlfn.XLOOKUP(F819,customers!$B$1:$B$1001,customers!$C$1:$C$1001,,0))</f>
        <v>bwellanmp@cafepress.com</v>
      </c>
      <c r="H819" s="2" t="str">
        <f>_xlfn.XLOOKUP(C819,customers!$A$1:$A$1001,customers!$G$1:$G$1001,,0)</f>
        <v>United States</v>
      </c>
      <c r="I819" t="str">
        <f>_xlfn.XLOOKUP(D819,products!$A$1:$A$49,products!$B$1:$B$49,,0)</f>
        <v>Lib</v>
      </c>
      <c r="J819" t="str">
        <f>_xlfn.XLOOKUP(D819,products!$A$1:$A$49,products!$C$1:$C$49,,0)</f>
        <v>D</v>
      </c>
      <c r="K819" s="5">
        <f>_xlfn.XLOOKUP(D819,products!$A$1:$A$49,products!$D$1:$D$49,,0)</f>
        <v>0.5</v>
      </c>
      <c r="L819" s="7">
        <f>_xlfn.XLOOKUP(D819,products!$A$1:$A$49,products!$E$1:$E$49,,0)</f>
        <v>7.77</v>
      </c>
      <c r="M819" s="7">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IF(_xlfn.XLOOKUP(F820,customers!$B$1:$B$1001,customers!$C$1:$C$1001,,0)=0,"",_xlfn.XLOOKUP(F820,customers!$B$1:$B$1001,customers!$C$1:$C$1001,,0))</f>
        <v/>
      </c>
      <c r="H820" s="2" t="str">
        <f>_xlfn.XLOOKUP(C820,customers!$A$1:$A$1001,customers!$G$1:$G$1001,,0)</f>
        <v>United States</v>
      </c>
      <c r="I820" t="str">
        <f>_xlfn.XLOOKUP(D820,products!$A$1:$A$49,products!$B$1:$B$49,,0)</f>
        <v>Lib</v>
      </c>
      <c r="J820" t="str">
        <f>_xlfn.XLOOKUP(D820,products!$A$1:$A$49,products!$C$1:$C$49,,0)</f>
        <v>L</v>
      </c>
      <c r="K820" s="5">
        <f>_xlfn.XLOOKUP(D820,products!$A$1:$A$49,products!$D$1:$D$49,,0)</f>
        <v>1</v>
      </c>
      <c r="L820" s="7">
        <f>_xlfn.XLOOKUP(D820,products!$A$1:$A$49,products!$E$1:$E$49,,0)</f>
        <v>15.85</v>
      </c>
      <c r="M820" s="7">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IF(_xlfn.XLOOKUP(F821,customers!$B$1:$B$1001,customers!$C$1:$C$1001,,0)=0,"",_xlfn.XLOOKUP(F821,customers!$B$1:$B$1001,customers!$C$1:$C$1001,,0))</f>
        <v>catchesonmr@xinhuanet.com</v>
      </c>
      <c r="H821" s="2" t="str">
        <f>_xlfn.XLOOKUP(C821,customers!$A$1:$A$1001,customers!$G$1:$G$1001,,0)</f>
        <v>United States</v>
      </c>
      <c r="I821" t="str">
        <f>_xlfn.XLOOKUP(D821,products!$A$1:$A$49,products!$B$1:$B$49,,0)</f>
        <v>Lib</v>
      </c>
      <c r="J821" t="str">
        <f>_xlfn.XLOOKUP(D821,products!$A$1:$A$49,products!$C$1:$C$49,,0)</f>
        <v>L</v>
      </c>
      <c r="K821" s="5">
        <f>_xlfn.XLOOKUP(D821,products!$A$1:$A$49,products!$D$1:$D$49,,0)</f>
        <v>0.2</v>
      </c>
      <c r="L821" s="7">
        <f>_xlfn.XLOOKUP(D821,products!$A$1:$A$49,products!$E$1:$E$49,,0)</f>
        <v>4.7549999999999999</v>
      </c>
      <c r="M821" s="7">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IF(_xlfn.XLOOKUP(F822,customers!$B$1:$B$1001,customers!$C$1:$C$1001,,0)=0,"",_xlfn.XLOOKUP(F822,customers!$B$1:$B$1001,customers!$C$1:$C$1001,,0))</f>
        <v>estentonms@google.it</v>
      </c>
      <c r="H822" s="2" t="str">
        <f>_xlfn.XLOOKUP(C822,customers!$A$1:$A$1001,customers!$G$1:$G$1001,,0)</f>
        <v>United States</v>
      </c>
      <c r="I822" t="str">
        <f>_xlfn.XLOOKUP(D822,products!$A$1:$A$49,products!$B$1:$B$49,,0)</f>
        <v>Exc</v>
      </c>
      <c r="J822" t="str">
        <f>_xlfn.XLOOKUP(D822,products!$A$1:$A$49,products!$C$1:$C$49,,0)</f>
        <v>M</v>
      </c>
      <c r="K822" s="5">
        <f>_xlfn.XLOOKUP(D822,products!$A$1:$A$49,products!$D$1:$D$49,,0)</f>
        <v>1</v>
      </c>
      <c r="L822" s="7">
        <f>_xlfn.XLOOKUP(D822,products!$A$1:$A$49,products!$E$1:$E$49,,0)</f>
        <v>13.75</v>
      </c>
      <c r="M822" s="7">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IF(_xlfn.XLOOKUP(F823,customers!$B$1:$B$1001,customers!$C$1:$C$1001,,0)=0,"",_xlfn.XLOOKUP(F823,customers!$B$1:$B$1001,customers!$C$1:$C$1001,,0))</f>
        <v>etrippmt@wp.com</v>
      </c>
      <c r="H823" s="2" t="str">
        <f>_xlfn.XLOOKUP(C823,customers!$A$1:$A$1001,customers!$G$1:$G$1001,,0)</f>
        <v>United States</v>
      </c>
      <c r="I823" t="str">
        <f>_xlfn.XLOOKUP(D823,products!$A$1:$A$49,products!$B$1:$B$49,,0)</f>
        <v>Rob</v>
      </c>
      <c r="J823" t="str">
        <f>_xlfn.XLOOKUP(D823,products!$A$1:$A$49,products!$C$1:$C$49,,0)</f>
        <v>D</v>
      </c>
      <c r="K823" s="5">
        <f>_xlfn.XLOOKUP(D823,products!$A$1:$A$49,products!$D$1:$D$49,,0)</f>
        <v>0.5</v>
      </c>
      <c r="L823" s="7">
        <f>_xlfn.XLOOKUP(D823,products!$A$1:$A$49,products!$E$1:$E$49,,0)</f>
        <v>5.3699999999999992</v>
      </c>
      <c r="M823" s="7">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IF(_xlfn.XLOOKUP(F824,customers!$B$1:$B$1001,customers!$C$1:$C$1001,,0)=0,"",_xlfn.XLOOKUP(F824,customers!$B$1:$B$1001,customers!$C$1:$C$1001,,0))</f>
        <v>lmacmanusmu@imdb.com</v>
      </c>
      <c r="H824" s="2" t="str">
        <f>_xlfn.XLOOKUP(C824,customers!$A$1:$A$1001,customers!$G$1:$G$1001,,0)</f>
        <v>United States</v>
      </c>
      <c r="I824" t="str">
        <f>_xlfn.XLOOKUP(D824,products!$A$1:$A$49,products!$B$1:$B$49,,0)</f>
        <v>Exc</v>
      </c>
      <c r="J824" t="str">
        <f>_xlfn.XLOOKUP(D824,products!$A$1:$A$49,products!$C$1:$C$49,,0)</f>
        <v>L</v>
      </c>
      <c r="K824" s="5">
        <f>_xlfn.XLOOKUP(D824,products!$A$1:$A$49,products!$D$1:$D$49,,0)</f>
        <v>2.5</v>
      </c>
      <c r="L824" s="7">
        <f>_xlfn.XLOOKUP(D824,products!$A$1:$A$49,products!$E$1:$E$49,,0)</f>
        <v>34.154999999999994</v>
      </c>
      <c r="M824" s="7">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IF(_xlfn.XLOOKUP(F825,customers!$B$1:$B$1001,customers!$C$1:$C$1001,,0)=0,"",_xlfn.XLOOKUP(F825,customers!$B$1:$B$1001,customers!$C$1:$C$1001,,0))</f>
        <v>tbenediktovichmv@ebay.com</v>
      </c>
      <c r="H825" s="2" t="str">
        <f>_xlfn.XLOOKUP(C825,customers!$A$1:$A$1001,customers!$G$1:$G$1001,,0)</f>
        <v>United States</v>
      </c>
      <c r="I825" t="str">
        <f>_xlfn.XLOOKUP(D825,products!$A$1:$A$49,products!$B$1:$B$49,,0)</f>
        <v>Lib</v>
      </c>
      <c r="J825" t="str">
        <f>_xlfn.XLOOKUP(D825,products!$A$1:$A$49,products!$C$1:$C$49,,0)</f>
        <v>L</v>
      </c>
      <c r="K825" s="5">
        <f>_xlfn.XLOOKUP(D825,products!$A$1:$A$49,products!$D$1:$D$49,,0)</f>
        <v>1</v>
      </c>
      <c r="L825" s="7">
        <f>_xlfn.XLOOKUP(D825,products!$A$1:$A$49,products!$E$1:$E$49,,0)</f>
        <v>15.85</v>
      </c>
      <c r="M825" s="7">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IF(_xlfn.XLOOKUP(F826,customers!$B$1:$B$1001,customers!$C$1:$C$1001,,0)=0,"",_xlfn.XLOOKUP(F826,customers!$B$1:$B$1001,customers!$C$1:$C$1001,,0))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5">
        <f>_xlfn.XLOOKUP(D826,products!$A$1:$A$49,products!$D$1:$D$49,,0)</f>
        <v>0.2</v>
      </c>
      <c r="L826" s="7">
        <f>_xlfn.XLOOKUP(D826,products!$A$1:$A$49,products!$E$1:$E$49,,0)</f>
        <v>3.375</v>
      </c>
      <c r="M826" s="7">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IF(_xlfn.XLOOKUP(F827,customers!$B$1:$B$1001,customers!$C$1:$C$1001,,0)=0,"",_xlfn.XLOOKUP(F827,customers!$B$1:$B$1001,customers!$C$1:$C$1001,,0))</f>
        <v>oskermen3@hatena.ne.jp</v>
      </c>
      <c r="H827" s="2" t="str">
        <f>_xlfn.XLOOKUP(C827,customers!$A$1:$A$1001,customers!$G$1:$G$1001,,0)</f>
        <v>United States</v>
      </c>
      <c r="I827" t="str">
        <f>_xlfn.XLOOKUP(D827,products!$A$1:$A$49,products!$B$1:$B$49,,0)</f>
        <v>Ara</v>
      </c>
      <c r="J827" t="str">
        <f>_xlfn.XLOOKUP(D827,products!$A$1:$A$49,products!$C$1:$C$49,,0)</f>
        <v>D</v>
      </c>
      <c r="K827" s="5">
        <f>_xlfn.XLOOKUP(D827,products!$A$1:$A$49,products!$D$1:$D$49,,0)</f>
        <v>1</v>
      </c>
      <c r="L827" s="7">
        <f>_xlfn.XLOOKUP(D827,products!$A$1:$A$49,products!$E$1:$E$49,,0)</f>
        <v>9.9499999999999993</v>
      </c>
      <c r="M827" s="7">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IF(_xlfn.XLOOKUP(F828,customers!$B$1:$B$1001,customers!$C$1:$C$1001,,0)=0,"",_xlfn.XLOOKUP(F828,customers!$B$1:$B$1001,customers!$C$1:$C$1001,,0))</f>
        <v>kheddanmy@icq.com</v>
      </c>
      <c r="H828" s="2" t="str">
        <f>_xlfn.XLOOKUP(C828,customers!$A$1:$A$1001,customers!$G$1:$G$1001,,0)</f>
        <v>United States</v>
      </c>
      <c r="I828" t="str">
        <f>_xlfn.XLOOKUP(D828,products!$A$1:$A$49,products!$B$1:$B$49,,0)</f>
        <v>Exc</v>
      </c>
      <c r="J828" t="str">
        <f>_xlfn.XLOOKUP(D828,products!$A$1:$A$49,products!$C$1:$C$49,,0)</f>
        <v>M</v>
      </c>
      <c r="K828" s="5">
        <f>_xlfn.XLOOKUP(D828,products!$A$1:$A$49,products!$D$1:$D$49,,0)</f>
        <v>0.5</v>
      </c>
      <c r="L828" s="7">
        <f>_xlfn.XLOOKUP(D828,products!$A$1:$A$49,products!$E$1:$E$49,,0)</f>
        <v>8.25</v>
      </c>
      <c r="M828" s="7">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IF(_xlfn.XLOOKUP(F829,customers!$B$1:$B$1001,customers!$C$1:$C$1001,,0)=0,"",_xlfn.XLOOKUP(F829,customers!$B$1:$B$1001,customers!$C$1:$C$1001,,0))</f>
        <v>ichartersmz@abc.net.au</v>
      </c>
      <c r="H829" s="2" t="str">
        <f>_xlfn.XLOOKUP(C829,customers!$A$1:$A$1001,customers!$G$1:$G$1001,,0)</f>
        <v>United States</v>
      </c>
      <c r="I829" t="str">
        <f>_xlfn.XLOOKUP(D829,products!$A$1:$A$49,products!$B$1:$B$49,,0)</f>
        <v>Exc</v>
      </c>
      <c r="J829" t="str">
        <f>_xlfn.XLOOKUP(D829,products!$A$1:$A$49,products!$C$1:$C$49,,0)</f>
        <v>M</v>
      </c>
      <c r="K829" s="5">
        <f>_xlfn.XLOOKUP(D829,products!$A$1:$A$49,products!$D$1:$D$49,,0)</f>
        <v>0.2</v>
      </c>
      <c r="L829" s="7">
        <f>_xlfn.XLOOKUP(D829,products!$A$1:$A$49,products!$E$1:$E$49,,0)</f>
        <v>4.125</v>
      </c>
      <c r="M829" s="7">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IF(_xlfn.XLOOKUP(F830,customers!$B$1:$B$1001,customers!$C$1:$C$1001,,0)=0,"",_xlfn.XLOOKUP(F830,customers!$B$1:$B$1001,customers!$C$1:$C$1001,,0))</f>
        <v>aroubertn0@tmall.com</v>
      </c>
      <c r="H830" s="2" t="str">
        <f>_xlfn.XLOOKUP(C830,customers!$A$1:$A$1001,customers!$G$1:$G$1001,,0)</f>
        <v>United States</v>
      </c>
      <c r="I830" t="str">
        <f>_xlfn.XLOOKUP(D830,products!$A$1:$A$49,products!$B$1:$B$49,,0)</f>
        <v>Ara</v>
      </c>
      <c r="J830" t="str">
        <f>_xlfn.XLOOKUP(D830,products!$A$1:$A$49,products!$C$1:$C$49,,0)</f>
        <v>D</v>
      </c>
      <c r="K830" s="5">
        <f>_xlfn.XLOOKUP(D830,products!$A$1:$A$49,products!$D$1:$D$49,,0)</f>
        <v>2.5</v>
      </c>
      <c r="L830" s="7">
        <f>_xlfn.XLOOKUP(D830,products!$A$1:$A$49,products!$E$1:$E$49,,0)</f>
        <v>22.884999999999998</v>
      </c>
      <c r="M830" s="7">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IF(_xlfn.XLOOKUP(F831,customers!$B$1:$B$1001,customers!$C$1:$C$1001,,0)=0,"",_xlfn.XLOOKUP(F831,customers!$B$1:$B$1001,customers!$C$1:$C$1001,,0))</f>
        <v>hmairsn1@so-net.ne.jp</v>
      </c>
      <c r="H831" s="2" t="str">
        <f>_xlfn.XLOOKUP(C831,customers!$A$1:$A$1001,customers!$G$1:$G$1001,,0)</f>
        <v>United States</v>
      </c>
      <c r="I831" t="str">
        <f>_xlfn.XLOOKUP(D831,products!$A$1:$A$49,products!$B$1:$B$49,,0)</f>
        <v>Ara</v>
      </c>
      <c r="J831" t="str">
        <f>_xlfn.XLOOKUP(D831,products!$A$1:$A$49,products!$C$1:$C$49,,0)</f>
        <v>D</v>
      </c>
      <c r="K831" s="5">
        <f>_xlfn.XLOOKUP(D831,products!$A$1:$A$49,products!$D$1:$D$49,,0)</f>
        <v>0.2</v>
      </c>
      <c r="L831" s="7">
        <f>_xlfn.XLOOKUP(D831,products!$A$1:$A$49,products!$E$1:$E$49,,0)</f>
        <v>2.9849999999999999</v>
      </c>
      <c r="M831" s="7">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IF(_xlfn.XLOOKUP(F832,customers!$B$1:$B$1001,customers!$C$1:$C$1001,,0)=0,"",_xlfn.XLOOKUP(F832,customers!$B$1:$B$1001,customers!$C$1:$C$1001,,0))</f>
        <v>hrainforthn2@blog.com</v>
      </c>
      <c r="H832" s="2" t="str">
        <f>_xlfn.XLOOKUP(C832,customers!$A$1:$A$1001,customers!$G$1:$G$1001,,0)</f>
        <v>United States</v>
      </c>
      <c r="I832" t="str">
        <f>_xlfn.XLOOKUP(D832,products!$A$1:$A$49,products!$B$1:$B$49,,0)</f>
        <v>Exc</v>
      </c>
      <c r="J832" t="str">
        <f>_xlfn.XLOOKUP(D832,products!$A$1:$A$49,products!$C$1:$C$49,,0)</f>
        <v>M</v>
      </c>
      <c r="K832" s="5">
        <f>_xlfn.XLOOKUP(D832,products!$A$1:$A$49,products!$D$1:$D$49,,0)</f>
        <v>1</v>
      </c>
      <c r="L832" s="7">
        <f>_xlfn.XLOOKUP(D832,products!$A$1:$A$49,products!$E$1:$E$49,,0)</f>
        <v>13.75</v>
      </c>
      <c r="M832" s="7">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IF(_xlfn.XLOOKUP(F833,customers!$B$1:$B$1001,customers!$C$1:$C$1001,,0)=0,"",_xlfn.XLOOKUP(F833,customers!$B$1:$B$1001,customers!$C$1:$C$1001,,0))</f>
        <v>hrainforthn2@blog.com</v>
      </c>
      <c r="H833" s="2" t="str">
        <f>_xlfn.XLOOKUP(C833,customers!$A$1:$A$1001,customers!$G$1:$G$1001,,0)</f>
        <v>United States</v>
      </c>
      <c r="I833" t="str">
        <f>_xlfn.XLOOKUP(D833,products!$A$1:$A$49,products!$B$1:$B$49,,0)</f>
        <v>Ara</v>
      </c>
      <c r="J833" t="str">
        <f>_xlfn.XLOOKUP(D833,products!$A$1:$A$49,products!$C$1:$C$49,,0)</f>
        <v>D</v>
      </c>
      <c r="K833" s="5">
        <f>_xlfn.XLOOKUP(D833,products!$A$1:$A$49,products!$D$1:$D$49,,0)</f>
        <v>0.2</v>
      </c>
      <c r="L833" s="7">
        <f>_xlfn.XLOOKUP(D833,products!$A$1:$A$49,products!$E$1:$E$49,,0)</f>
        <v>2.9849999999999999</v>
      </c>
      <c r="M833" s="7">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IF(_xlfn.XLOOKUP(F834,customers!$B$1:$B$1001,customers!$C$1:$C$1001,,0)=0,"",_xlfn.XLOOKUP(F834,customers!$B$1:$B$1001,customers!$C$1:$C$1001,,0))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5">
        <f>_xlfn.XLOOKUP(D834,products!$A$1:$A$49,products!$D$1:$D$49,,0)</f>
        <v>1</v>
      </c>
      <c r="L834" s="7">
        <f>_xlfn.XLOOKUP(D834,products!$A$1:$A$49,products!$E$1:$E$49,,0)</f>
        <v>9.9499999999999993</v>
      </c>
      <c r="M834" s="7">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IF(_xlfn.XLOOKUP(F835,customers!$B$1:$B$1001,customers!$C$1:$C$1001,,0)=0,"",_xlfn.XLOOKUP(F835,customers!$B$1:$B$1001,customers!$C$1:$C$1001,,0))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5">
        <f>_xlfn.XLOOKUP(D835,products!$A$1:$A$49,products!$D$1:$D$49,,0)</f>
        <v>2.5</v>
      </c>
      <c r="L835" s="7">
        <f>_xlfn.XLOOKUP(D835,products!$A$1:$A$49,products!$E$1:$E$49,,0)</f>
        <v>20.584999999999997</v>
      </c>
      <c r="M835" s="7">
        <f t="shared" ref="M835:M898" si="39">(L835*E835)</f>
        <v>82.339999999999989</v>
      </c>
      <c r="N835" t="str">
        <f t="shared" ref="N835:N898" si="40">IF(I835="Rob","Robusta", 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IF(_xlfn.XLOOKUP(F836,customers!$B$1:$B$1001,customers!$C$1:$C$1001,,0)=0,"",_xlfn.XLOOKUP(F836,customers!$B$1:$B$1001,customers!$C$1:$C$1001,,0))</f>
        <v>nbroomern6@examiner.com</v>
      </c>
      <c r="H836" s="2" t="str">
        <f>_xlfn.XLOOKUP(C836,customers!$A$1:$A$1001,customers!$G$1:$G$1001,,0)</f>
        <v>United States</v>
      </c>
      <c r="I836" t="str">
        <f>_xlfn.XLOOKUP(D836,products!$A$1:$A$49,products!$B$1:$B$49,,0)</f>
        <v>Ara</v>
      </c>
      <c r="J836" t="str">
        <f>_xlfn.XLOOKUP(D836,products!$A$1:$A$49,products!$C$1:$C$49,,0)</f>
        <v>D</v>
      </c>
      <c r="K836" s="5">
        <f>_xlfn.XLOOKUP(D836,products!$A$1:$A$49,products!$D$1:$D$49,,0)</f>
        <v>2.5</v>
      </c>
      <c r="L836" s="7">
        <f>_xlfn.XLOOKUP(D836,products!$A$1:$A$49,products!$E$1:$E$49,,0)</f>
        <v>22.884999999999998</v>
      </c>
      <c r="M836" s="7">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IF(_xlfn.XLOOKUP(F837,customers!$B$1:$B$1001,customers!$C$1:$C$1001,,0)=0,"",_xlfn.XLOOKUP(F837,customers!$B$1:$B$1001,customers!$C$1:$C$1001,,0))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5">
        <f>_xlfn.XLOOKUP(D837,products!$A$1:$A$49,products!$D$1:$D$49,,0)</f>
        <v>0.5</v>
      </c>
      <c r="L837" s="7">
        <f>_xlfn.XLOOKUP(D837,products!$A$1:$A$49,products!$E$1:$E$49,,0)</f>
        <v>8.91</v>
      </c>
      <c r="M837" s="7">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IF(_xlfn.XLOOKUP(F838,customers!$B$1:$B$1001,customers!$C$1:$C$1001,,0)=0,"",_xlfn.XLOOKUP(F838,customers!$B$1:$B$1001,customers!$C$1:$C$1001,,0))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5">
        <f>_xlfn.XLOOKUP(D838,products!$A$1:$A$49,products!$D$1:$D$49,,0)</f>
        <v>0.2</v>
      </c>
      <c r="L838" s="7">
        <f>_xlfn.XLOOKUP(D838,products!$A$1:$A$49,products!$E$1:$E$49,,0)</f>
        <v>2.9849999999999999</v>
      </c>
      <c r="M838" s="7">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IF(_xlfn.XLOOKUP(F839,customers!$B$1:$B$1001,customers!$C$1:$C$1001,,0)=0,"",_xlfn.XLOOKUP(F839,customers!$B$1:$B$1001,customers!$C$1:$C$1001,,0))</f>
        <v/>
      </c>
      <c r="H839" s="2" t="str">
        <f>_xlfn.XLOOKUP(C839,customers!$A$1:$A$1001,customers!$G$1:$G$1001,,0)</f>
        <v>United States</v>
      </c>
      <c r="I839" t="str">
        <f>_xlfn.XLOOKUP(D839,products!$A$1:$A$49,products!$B$1:$B$49,,0)</f>
        <v>Lib</v>
      </c>
      <c r="J839" t="str">
        <f>_xlfn.XLOOKUP(D839,products!$A$1:$A$49,products!$C$1:$C$49,,0)</f>
        <v>M</v>
      </c>
      <c r="K839" s="5">
        <f>_xlfn.XLOOKUP(D839,products!$A$1:$A$49,products!$D$1:$D$49,,0)</f>
        <v>2.5</v>
      </c>
      <c r="L839" s="7">
        <f>_xlfn.XLOOKUP(D839,products!$A$1:$A$49,products!$E$1:$E$49,,0)</f>
        <v>33.464999999999996</v>
      </c>
      <c r="M839" s="7">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IF(_xlfn.XLOOKUP(F840,customers!$B$1:$B$1001,customers!$C$1:$C$1001,,0)=0,"",_xlfn.XLOOKUP(F840,customers!$B$1:$B$1001,customers!$C$1:$C$1001,,0))</f>
        <v>ravrashinna@tamu.edu</v>
      </c>
      <c r="H840" s="2" t="str">
        <f>_xlfn.XLOOKUP(C840,customers!$A$1:$A$1001,customers!$G$1:$G$1001,,0)</f>
        <v>United States</v>
      </c>
      <c r="I840" t="str">
        <f>_xlfn.XLOOKUP(D840,products!$A$1:$A$49,products!$B$1:$B$49,,0)</f>
        <v>Ara</v>
      </c>
      <c r="J840" t="str">
        <f>_xlfn.XLOOKUP(D840,products!$A$1:$A$49,products!$C$1:$C$49,,0)</f>
        <v>D</v>
      </c>
      <c r="K840" s="5">
        <f>_xlfn.XLOOKUP(D840,products!$A$1:$A$49,products!$D$1:$D$49,,0)</f>
        <v>2.5</v>
      </c>
      <c r="L840" s="7">
        <f>_xlfn.XLOOKUP(D840,products!$A$1:$A$49,products!$E$1:$E$49,,0)</f>
        <v>22.884999999999998</v>
      </c>
      <c r="M840" s="7">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IF(_xlfn.XLOOKUP(F841,customers!$B$1:$B$1001,customers!$C$1:$C$1001,,0)=0,"",_xlfn.XLOOKUP(F841,customers!$B$1:$B$1001,customers!$C$1:$C$1001,,0))</f>
        <v>mdoidgenb@etsy.com</v>
      </c>
      <c r="H841" s="2" t="str">
        <f>_xlfn.XLOOKUP(C841,customers!$A$1:$A$1001,customers!$G$1:$G$1001,,0)</f>
        <v>United States</v>
      </c>
      <c r="I841" t="str">
        <f>_xlfn.XLOOKUP(D841,products!$A$1:$A$49,products!$B$1:$B$49,,0)</f>
        <v>Exc</v>
      </c>
      <c r="J841" t="str">
        <f>_xlfn.XLOOKUP(D841,products!$A$1:$A$49,products!$C$1:$C$49,,0)</f>
        <v>M</v>
      </c>
      <c r="K841" s="5">
        <f>_xlfn.XLOOKUP(D841,products!$A$1:$A$49,products!$D$1:$D$49,,0)</f>
        <v>0.5</v>
      </c>
      <c r="L841" s="7">
        <f>_xlfn.XLOOKUP(D841,products!$A$1:$A$49,products!$E$1:$E$49,,0)</f>
        <v>8.25</v>
      </c>
      <c r="M841" s="7">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IF(_xlfn.XLOOKUP(F842,customers!$B$1:$B$1001,customers!$C$1:$C$1001,,0)=0,"",_xlfn.XLOOKUP(F842,customers!$B$1:$B$1001,customers!$C$1:$C$1001,,0))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5">
        <f>_xlfn.XLOOKUP(D842,products!$A$1:$A$49,products!$D$1:$D$49,,0)</f>
        <v>0.5</v>
      </c>
      <c r="L842" s="7">
        <f>_xlfn.XLOOKUP(D842,products!$A$1:$A$49,products!$E$1:$E$49,,0)</f>
        <v>7.169999999999999</v>
      </c>
      <c r="M842" s="7">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IF(_xlfn.XLOOKUP(F843,customers!$B$1:$B$1001,customers!$C$1:$C$1001,,0)=0,"",_xlfn.XLOOKUP(F843,customers!$B$1:$B$1001,customers!$C$1:$C$1001,,0))</f>
        <v>ttewelsonnd@cdbaby.com</v>
      </c>
      <c r="H843" s="2" t="str">
        <f>_xlfn.XLOOKUP(C843,customers!$A$1:$A$1001,customers!$G$1:$G$1001,,0)</f>
        <v>United States</v>
      </c>
      <c r="I843" t="str">
        <f>_xlfn.XLOOKUP(D843,products!$A$1:$A$49,products!$B$1:$B$49,,0)</f>
        <v>Lib</v>
      </c>
      <c r="J843" t="str">
        <f>_xlfn.XLOOKUP(D843,products!$A$1:$A$49,products!$C$1:$C$49,,0)</f>
        <v>M</v>
      </c>
      <c r="K843" s="5">
        <f>_xlfn.XLOOKUP(D843,products!$A$1:$A$49,products!$D$1:$D$49,,0)</f>
        <v>0.2</v>
      </c>
      <c r="L843" s="7">
        <f>_xlfn.XLOOKUP(D843,products!$A$1:$A$49,products!$E$1:$E$49,,0)</f>
        <v>4.3650000000000002</v>
      </c>
      <c r="M843" s="7">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IF(_xlfn.XLOOKUP(F844,customers!$B$1:$B$1001,customers!$C$1:$C$1001,,0)=0,"",_xlfn.XLOOKUP(F844,customers!$B$1:$B$1001,customers!$C$1:$C$1001,,0))</f>
        <v>oskermen3@hatena.ne.jp</v>
      </c>
      <c r="H844" s="2" t="str">
        <f>_xlfn.XLOOKUP(C844,customers!$A$1:$A$1001,customers!$G$1:$G$1001,,0)</f>
        <v>United States</v>
      </c>
      <c r="I844" t="str">
        <f>_xlfn.XLOOKUP(D844,products!$A$1:$A$49,products!$B$1:$B$49,,0)</f>
        <v>Exc</v>
      </c>
      <c r="J844" t="str">
        <f>_xlfn.XLOOKUP(D844,products!$A$1:$A$49,products!$C$1:$C$49,,0)</f>
        <v>M</v>
      </c>
      <c r="K844" s="5">
        <f>_xlfn.XLOOKUP(D844,products!$A$1:$A$49,products!$D$1:$D$49,,0)</f>
        <v>0.2</v>
      </c>
      <c r="L844" s="7">
        <f>_xlfn.XLOOKUP(D844,products!$A$1:$A$49,products!$E$1:$E$49,,0)</f>
        <v>4.125</v>
      </c>
      <c r="M844" s="7">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IF(_xlfn.XLOOKUP(F845,customers!$B$1:$B$1001,customers!$C$1:$C$1001,,0)=0,"",_xlfn.XLOOKUP(F845,customers!$B$1:$B$1001,customers!$C$1:$C$1001,,0))</f>
        <v>ddrewittnf@mapquest.com</v>
      </c>
      <c r="H845" s="2" t="str">
        <f>_xlfn.XLOOKUP(C845,customers!$A$1:$A$1001,customers!$G$1:$G$1001,,0)</f>
        <v>United States</v>
      </c>
      <c r="I845" t="str">
        <f>_xlfn.XLOOKUP(D845,products!$A$1:$A$49,products!$B$1:$B$49,,0)</f>
        <v>Exc</v>
      </c>
      <c r="J845" t="str">
        <f>_xlfn.XLOOKUP(D845,products!$A$1:$A$49,products!$C$1:$C$49,,0)</f>
        <v>M</v>
      </c>
      <c r="K845" s="5">
        <f>_xlfn.XLOOKUP(D845,products!$A$1:$A$49,products!$D$1:$D$49,,0)</f>
        <v>0.2</v>
      </c>
      <c r="L845" s="7">
        <f>_xlfn.XLOOKUP(D845,products!$A$1:$A$49,products!$E$1:$E$49,,0)</f>
        <v>4.125</v>
      </c>
      <c r="M845" s="7">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IF(_xlfn.XLOOKUP(F846,customers!$B$1:$B$1001,customers!$C$1:$C$1001,,0)=0,"",_xlfn.XLOOKUP(F846,customers!$B$1:$B$1001,customers!$C$1:$C$1001,,0))</f>
        <v>agladhillng@stanford.edu</v>
      </c>
      <c r="H846" s="2" t="str">
        <f>_xlfn.XLOOKUP(C846,customers!$A$1:$A$1001,customers!$G$1:$G$1001,,0)</f>
        <v>United States</v>
      </c>
      <c r="I846" t="str">
        <f>_xlfn.XLOOKUP(D846,products!$A$1:$A$49,products!$B$1:$B$49,,0)</f>
        <v>Ara</v>
      </c>
      <c r="J846" t="str">
        <f>_xlfn.XLOOKUP(D846,products!$A$1:$A$49,products!$C$1:$C$49,,0)</f>
        <v>D</v>
      </c>
      <c r="K846" s="5">
        <f>_xlfn.XLOOKUP(D846,products!$A$1:$A$49,products!$D$1:$D$49,,0)</f>
        <v>0.5</v>
      </c>
      <c r="L846" s="7">
        <f>_xlfn.XLOOKUP(D846,products!$A$1:$A$49,products!$E$1:$E$49,,0)</f>
        <v>5.97</v>
      </c>
      <c r="M846" s="7">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IF(_xlfn.XLOOKUP(F847,customers!$B$1:$B$1001,customers!$C$1:$C$1001,,0)=0,"",_xlfn.XLOOKUP(F847,customers!$B$1:$B$1001,customers!$C$1:$C$1001,,0))</f>
        <v>mlorineznh@whitehouse.gov</v>
      </c>
      <c r="H847" s="2" t="str">
        <f>_xlfn.XLOOKUP(C847,customers!$A$1:$A$1001,customers!$G$1:$G$1001,,0)</f>
        <v>United States</v>
      </c>
      <c r="I847" t="str">
        <f>_xlfn.XLOOKUP(D847,products!$A$1:$A$49,products!$B$1:$B$49,,0)</f>
        <v>Exc</v>
      </c>
      <c r="J847" t="str">
        <f>_xlfn.XLOOKUP(D847,products!$A$1:$A$49,products!$C$1:$C$49,,0)</f>
        <v>D</v>
      </c>
      <c r="K847" s="5">
        <f>_xlfn.XLOOKUP(D847,products!$A$1:$A$49,products!$D$1:$D$49,,0)</f>
        <v>2.5</v>
      </c>
      <c r="L847" s="7">
        <f>_xlfn.XLOOKUP(D847,products!$A$1:$A$49,products!$E$1:$E$49,,0)</f>
        <v>27.945</v>
      </c>
      <c r="M847" s="7">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IF(_xlfn.XLOOKUP(F848,customers!$B$1:$B$1001,customers!$C$1:$C$1001,,0)=0,"",_xlfn.XLOOKUP(F848,customers!$B$1:$B$1001,customers!$C$1:$C$1001,,0))</f>
        <v/>
      </c>
      <c r="H848" s="2" t="str">
        <f>_xlfn.XLOOKUP(C848,customers!$A$1:$A$1001,customers!$G$1:$G$1001,,0)</f>
        <v>United States</v>
      </c>
      <c r="I848" t="str">
        <f>_xlfn.XLOOKUP(D848,products!$A$1:$A$49,products!$B$1:$B$49,,0)</f>
        <v>Ara</v>
      </c>
      <c r="J848" t="str">
        <f>_xlfn.XLOOKUP(D848,products!$A$1:$A$49,products!$C$1:$C$49,,0)</f>
        <v>M</v>
      </c>
      <c r="K848" s="5">
        <f>_xlfn.XLOOKUP(D848,products!$A$1:$A$49,products!$D$1:$D$49,,0)</f>
        <v>2.5</v>
      </c>
      <c r="L848" s="7">
        <f>_xlfn.XLOOKUP(D848,products!$A$1:$A$49,products!$E$1:$E$49,,0)</f>
        <v>25.874999999999996</v>
      </c>
      <c r="M848" s="7">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IF(_xlfn.XLOOKUP(F849,customers!$B$1:$B$1001,customers!$C$1:$C$1001,,0)=0,"",_xlfn.XLOOKUP(F849,customers!$B$1:$B$1001,customers!$C$1:$C$1001,,0))</f>
        <v>mvannj@wikipedia.org</v>
      </c>
      <c r="H849" s="2" t="str">
        <f>_xlfn.XLOOKUP(C849,customers!$A$1:$A$1001,customers!$G$1:$G$1001,,0)</f>
        <v>United States</v>
      </c>
      <c r="I849" t="str">
        <f>_xlfn.XLOOKUP(D849,products!$A$1:$A$49,products!$B$1:$B$49,,0)</f>
        <v>Ara</v>
      </c>
      <c r="J849" t="str">
        <f>_xlfn.XLOOKUP(D849,products!$A$1:$A$49,products!$C$1:$C$49,,0)</f>
        <v>D</v>
      </c>
      <c r="K849" s="5">
        <f>_xlfn.XLOOKUP(D849,products!$A$1:$A$49,products!$D$1:$D$49,,0)</f>
        <v>0.2</v>
      </c>
      <c r="L849" s="7">
        <f>_xlfn.XLOOKUP(D849,products!$A$1:$A$49,products!$E$1:$E$49,,0)</f>
        <v>2.9849999999999999</v>
      </c>
      <c r="M849" s="7">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IF(_xlfn.XLOOKUP(F850,customers!$B$1:$B$1001,customers!$C$1:$C$1001,,0)=0,"",_xlfn.XLOOKUP(F850,customers!$B$1:$B$1001,customers!$C$1:$C$1001,,0))</f>
        <v/>
      </c>
      <c r="H850" s="2" t="str">
        <f>_xlfn.XLOOKUP(C850,customers!$A$1:$A$1001,customers!$G$1:$G$1001,,0)</f>
        <v>United States</v>
      </c>
      <c r="I850" t="str">
        <f>_xlfn.XLOOKUP(D850,products!$A$1:$A$49,products!$B$1:$B$49,,0)</f>
        <v>Exc</v>
      </c>
      <c r="J850" t="str">
        <f>_xlfn.XLOOKUP(D850,products!$A$1:$A$49,products!$C$1:$C$49,,0)</f>
        <v>L</v>
      </c>
      <c r="K850" s="5">
        <f>_xlfn.XLOOKUP(D850,products!$A$1:$A$49,products!$D$1:$D$49,,0)</f>
        <v>0.5</v>
      </c>
      <c r="L850" s="7">
        <f>_xlfn.XLOOKUP(D850,products!$A$1:$A$49,products!$E$1:$E$49,,0)</f>
        <v>8.91</v>
      </c>
      <c r="M850" s="7">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IF(_xlfn.XLOOKUP(F851,customers!$B$1:$B$1001,customers!$C$1:$C$1001,,0)=0,"",_xlfn.XLOOKUP(F851,customers!$B$1:$B$1001,customers!$C$1:$C$1001,,0))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5">
        <f>_xlfn.XLOOKUP(D851,products!$A$1:$A$49,products!$D$1:$D$49,,0)</f>
        <v>0.2</v>
      </c>
      <c r="L851" s="7">
        <f>_xlfn.XLOOKUP(D851,products!$A$1:$A$49,products!$E$1:$E$49,,0)</f>
        <v>3.8849999999999998</v>
      </c>
      <c r="M851" s="7">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IF(_xlfn.XLOOKUP(F852,customers!$B$1:$B$1001,customers!$C$1:$C$1001,,0)=0,"",_xlfn.XLOOKUP(F852,customers!$B$1:$B$1001,customers!$C$1:$C$1001,,0))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5">
        <f>_xlfn.XLOOKUP(D852,products!$A$1:$A$49,products!$D$1:$D$49,,0)</f>
        <v>0.2</v>
      </c>
      <c r="L852" s="7">
        <f>_xlfn.XLOOKUP(D852,products!$A$1:$A$49,products!$E$1:$E$49,,0)</f>
        <v>3.375</v>
      </c>
      <c r="M852" s="7">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IF(_xlfn.XLOOKUP(F853,customers!$B$1:$B$1001,customers!$C$1:$C$1001,,0)=0,"",_xlfn.XLOOKUP(F853,customers!$B$1:$B$1001,customers!$C$1:$C$1001,,0))</f>
        <v>peberznn@woothemes.com</v>
      </c>
      <c r="H853" s="2" t="str">
        <f>_xlfn.XLOOKUP(C853,customers!$A$1:$A$1001,customers!$G$1:$G$1001,,0)</f>
        <v>United States</v>
      </c>
      <c r="I853" t="str">
        <f>_xlfn.XLOOKUP(D853,products!$A$1:$A$49,products!$B$1:$B$49,,0)</f>
        <v>Lib</v>
      </c>
      <c r="J853" t="str">
        <f>_xlfn.XLOOKUP(D853,products!$A$1:$A$49,products!$C$1:$C$49,,0)</f>
        <v>D</v>
      </c>
      <c r="K853" s="5">
        <f>_xlfn.XLOOKUP(D853,products!$A$1:$A$49,products!$D$1:$D$49,,0)</f>
        <v>0.5</v>
      </c>
      <c r="L853" s="7">
        <f>_xlfn.XLOOKUP(D853,products!$A$1:$A$49,products!$E$1:$E$49,,0)</f>
        <v>7.77</v>
      </c>
      <c r="M853" s="7">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IF(_xlfn.XLOOKUP(F854,customers!$B$1:$B$1001,customers!$C$1:$C$1001,,0)=0,"",_xlfn.XLOOKUP(F854,customers!$B$1:$B$1001,customers!$C$1:$C$1001,,0))</f>
        <v>bgaishno@altervista.org</v>
      </c>
      <c r="H854" s="2" t="str">
        <f>_xlfn.XLOOKUP(C854,customers!$A$1:$A$1001,customers!$G$1:$G$1001,,0)</f>
        <v>United States</v>
      </c>
      <c r="I854" t="str">
        <f>_xlfn.XLOOKUP(D854,products!$A$1:$A$49,products!$B$1:$B$49,,0)</f>
        <v>Lib</v>
      </c>
      <c r="J854" t="str">
        <f>_xlfn.XLOOKUP(D854,products!$A$1:$A$49,products!$C$1:$C$49,,0)</f>
        <v>D</v>
      </c>
      <c r="K854" s="5">
        <f>_xlfn.XLOOKUP(D854,products!$A$1:$A$49,products!$D$1:$D$49,,0)</f>
        <v>2.5</v>
      </c>
      <c r="L854" s="7">
        <f>_xlfn.XLOOKUP(D854,products!$A$1:$A$49,products!$E$1:$E$49,,0)</f>
        <v>29.784999999999997</v>
      </c>
      <c r="M854" s="7">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IF(_xlfn.XLOOKUP(F855,customers!$B$1:$B$1001,customers!$C$1:$C$1001,,0)=0,"",_xlfn.XLOOKUP(F855,customers!$B$1:$B$1001,customers!$C$1:$C$1001,,0))</f>
        <v>ldantonnp@miitbeian.gov.cn</v>
      </c>
      <c r="H855" s="2" t="str">
        <f>_xlfn.XLOOKUP(C855,customers!$A$1:$A$1001,customers!$G$1:$G$1001,,0)</f>
        <v>United States</v>
      </c>
      <c r="I855" t="str">
        <f>_xlfn.XLOOKUP(D855,products!$A$1:$A$49,products!$B$1:$B$49,,0)</f>
        <v>Ara</v>
      </c>
      <c r="J855" t="str">
        <f>_xlfn.XLOOKUP(D855,products!$A$1:$A$49,products!$C$1:$C$49,,0)</f>
        <v>D</v>
      </c>
      <c r="K855" s="5">
        <f>_xlfn.XLOOKUP(D855,products!$A$1:$A$49,products!$D$1:$D$49,,0)</f>
        <v>1</v>
      </c>
      <c r="L855" s="7">
        <f>_xlfn.XLOOKUP(D855,products!$A$1:$A$49,products!$E$1:$E$49,,0)</f>
        <v>9.9499999999999993</v>
      </c>
      <c r="M855" s="7">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IF(_xlfn.XLOOKUP(F856,customers!$B$1:$B$1001,customers!$C$1:$C$1001,,0)=0,"",_xlfn.XLOOKUP(F856,customers!$B$1:$B$1001,customers!$C$1:$C$1001,,0))</f>
        <v>smorrallnq@answers.com</v>
      </c>
      <c r="H856" s="2" t="str">
        <f>_xlfn.XLOOKUP(C856,customers!$A$1:$A$1001,customers!$G$1:$G$1001,,0)</f>
        <v>United States</v>
      </c>
      <c r="I856" t="str">
        <f>_xlfn.XLOOKUP(D856,products!$A$1:$A$49,products!$B$1:$B$49,,0)</f>
        <v>Rob</v>
      </c>
      <c r="J856" t="str">
        <f>_xlfn.XLOOKUP(D856,products!$A$1:$A$49,products!$C$1:$C$49,,0)</f>
        <v>L</v>
      </c>
      <c r="K856" s="5">
        <f>_xlfn.XLOOKUP(D856,products!$A$1:$A$49,products!$D$1:$D$49,,0)</f>
        <v>0.5</v>
      </c>
      <c r="L856" s="7">
        <f>_xlfn.XLOOKUP(D856,products!$A$1:$A$49,products!$E$1:$E$49,,0)</f>
        <v>7.169999999999999</v>
      </c>
      <c r="M856" s="7">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IF(_xlfn.XLOOKUP(F857,customers!$B$1:$B$1001,customers!$C$1:$C$1001,,0)=0,"",_xlfn.XLOOKUP(F857,customers!$B$1:$B$1001,customers!$C$1:$C$1001,,0))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5">
        <f>_xlfn.XLOOKUP(D857,products!$A$1:$A$49,products!$D$1:$D$49,,0)</f>
        <v>2.5</v>
      </c>
      <c r="L857" s="7">
        <f>_xlfn.XLOOKUP(D857,products!$A$1:$A$49,products!$E$1:$E$49,,0)</f>
        <v>29.784999999999997</v>
      </c>
      <c r="M857" s="7">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IF(_xlfn.XLOOKUP(F858,customers!$B$1:$B$1001,customers!$C$1:$C$1001,,0)=0,"",_xlfn.XLOOKUP(F858,customers!$B$1:$B$1001,customers!$C$1:$C$1001,,0))</f>
        <v>oskermen3@hatena.ne.jp</v>
      </c>
      <c r="H858" s="2" t="str">
        <f>_xlfn.XLOOKUP(C858,customers!$A$1:$A$1001,customers!$G$1:$G$1001,,0)</f>
        <v>United States</v>
      </c>
      <c r="I858" t="str">
        <f>_xlfn.XLOOKUP(D858,products!$A$1:$A$49,products!$B$1:$B$49,,0)</f>
        <v>Lib</v>
      </c>
      <c r="J858" t="str">
        <f>_xlfn.XLOOKUP(D858,products!$A$1:$A$49,products!$C$1:$C$49,,0)</f>
        <v>M</v>
      </c>
      <c r="K858" s="5">
        <f>_xlfn.XLOOKUP(D858,products!$A$1:$A$49,products!$D$1:$D$49,,0)</f>
        <v>0.2</v>
      </c>
      <c r="L858" s="7">
        <f>_xlfn.XLOOKUP(D858,products!$A$1:$A$49,products!$E$1:$E$49,,0)</f>
        <v>4.3650000000000002</v>
      </c>
      <c r="M858" s="7">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IF(_xlfn.XLOOKUP(F859,customers!$B$1:$B$1001,customers!$C$1:$C$1001,,0)=0,"",_xlfn.XLOOKUP(F859,customers!$B$1:$B$1001,customers!$C$1:$C$1001,,0))</f>
        <v>jreddochnt@sun.com</v>
      </c>
      <c r="H859" s="2" t="str">
        <f>_xlfn.XLOOKUP(C859,customers!$A$1:$A$1001,customers!$G$1:$G$1001,,0)</f>
        <v>United States</v>
      </c>
      <c r="I859" t="str">
        <f>_xlfn.XLOOKUP(D859,products!$A$1:$A$49,products!$B$1:$B$49,,0)</f>
        <v>Rob</v>
      </c>
      <c r="J859" t="str">
        <f>_xlfn.XLOOKUP(D859,products!$A$1:$A$49,products!$C$1:$C$49,,0)</f>
        <v>L</v>
      </c>
      <c r="K859" s="5">
        <f>_xlfn.XLOOKUP(D859,products!$A$1:$A$49,products!$D$1:$D$49,,0)</f>
        <v>2.5</v>
      </c>
      <c r="L859" s="7">
        <f>_xlfn.XLOOKUP(D859,products!$A$1:$A$49,products!$E$1:$E$49,,0)</f>
        <v>27.484999999999996</v>
      </c>
      <c r="M859" s="7">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IF(_xlfn.XLOOKUP(F860,customers!$B$1:$B$1001,customers!$C$1:$C$1001,,0)=0,"",_xlfn.XLOOKUP(F860,customers!$B$1:$B$1001,customers!$C$1:$C$1001,,0))</f>
        <v>stitleynu@whitehouse.gov</v>
      </c>
      <c r="H860" s="2" t="str">
        <f>_xlfn.XLOOKUP(C860,customers!$A$1:$A$1001,customers!$G$1:$G$1001,,0)</f>
        <v>United States</v>
      </c>
      <c r="I860" t="str">
        <f>_xlfn.XLOOKUP(D860,products!$A$1:$A$49,products!$B$1:$B$49,,0)</f>
        <v>Lib</v>
      </c>
      <c r="J860" t="str">
        <f>_xlfn.XLOOKUP(D860,products!$A$1:$A$49,products!$C$1:$C$49,,0)</f>
        <v>M</v>
      </c>
      <c r="K860" s="5">
        <f>_xlfn.XLOOKUP(D860,products!$A$1:$A$49,products!$D$1:$D$49,,0)</f>
        <v>0.5</v>
      </c>
      <c r="L860" s="7">
        <f>_xlfn.XLOOKUP(D860,products!$A$1:$A$49,products!$E$1:$E$49,,0)</f>
        <v>8.73</v>
      </c>
      <c r="M860" s="7">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IF(_xlfn.XLOOKUP(F861,customers!$B$1:$B$1001,customers!$C$1:$C$1001,,0)=0,"",_xlfn.XLOOKUP(F861,customers!$B$1:$B$1001,customers!$C$1:$C$1001,,0))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5">
        <f>_xlfn.XLOOKUP(D861,products!$A$1:$A$49,products!$D$1:$D$49,,0)</f>
        <v>2.5</v>
      </c>
      <c r="L861" s="7">
        <f>_xlfn.XLOOKUP(D861,products!$A$1:$A$49,products!$E$1:$E$49,,0)</f>
        <v>29.784999999999997</v>
      </c>
      <c r="M861" s="7">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IF(_xlfn.XLOOKUP(F862,customers!$B$1:$B$1001,customers!$C$1:$C$1001,,0)=0,"",_xlfn.XLOOKUP(F862,customers!$B$1:$B$1001,customers!$C$1:$C$1001,,0))</f>
        <v/>
      </c>
      <c r="H862" s="2" t="str">
        <f>_xlfn.XLOOKUP(C862,customers!$A$1:$A$1001,customers!$G$1:$G$1001,,0)</f>
        <v>United States</v>
      </c>
      <c r="I862" t="str">
        <f>_xlfn.XLOOKUP(D862,products!$A$1:$A$49,products!$B$1:$B$49,,0)</f>
        <v>Ara</v>
      </c>
      <c r="J862" t="str">
        <f>_xlfn.XLOOKUP(D862,products!$A$1:$A$49,products!$C$1:$C$49,,0)</f>
        <v>M</v>
      </c>
      <c r="K862" s="5">
        <f>_xlfn.XLOOKUP(D862,products!$A$1:$A$49,products!$D$1:$D$49,,0)</f>
        <v>2.5</v>
      </c>
      <c r="L862" s="7">
        <f>_xlfn.XLOOKUP(D862,products!$A$1:$A$49,products!$E$1:$E$49,,0)</f>
        <v>25.874999999999996</v>
      </c>
      <c r="M862" s="7">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IF(_xlfn.XLOOKUP(F863,customers!$B$1:$B$1001,customers!$C$1:$C$1001,,0)=0,"",_xlfn.XLOOKUP(F863,customers!$B$1:$B$1001,customers!$C$1:$C$1001,,0))</f>
        <v>nchisholmnx@example.com</v>
      </c>
      <c r="H863" s="2" t="str">
        <f>_xlfn.XLOOKUP(C863,customers!$A$1:$A$1001,customers!$G$1:$G$1001,,0)</f>
        <v>United States</v>
      </c>
      <c r="I863" t="str">
        <f>_xlfn.XLOOKUP(D863,products!$A$1:$A$49,products!$B$1:$B$49,,0)</f>
        <v>Lib</v>
      </c>
      <c r="J863" t="str">
        <f>_xlfn.XLOOKUP(D863,products!$A$1:$A$49,products!$C$1:$C$49,,0)</f>
        <v>D</v>
      </c>
      <c r="K863" s="5">
        <f>_xlfn.XLOOKUP(D863,products!$A$1:$A$49,products!$D$1:$D$49,,0)</f>
        <v>1</v>
      </c>
      <c r="L863" s="7">
        <f>_xlfn.XLOOKUP(D863,products!$A$1:$A$49,products!$E$1:$E$49,,0)</f>
        <v>12.95</v>
      </c>
      <c r="M863" s="7">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IF(_xlfn.XLOOKUP(F864,customers!$B$1:$B$1001,customers!$C$1:$C$1001,,0)=0,"",_xlfn.XLOOKUP(F864,customers!$B$1:$B$1001,customers!$C$1:$C$1001,,0))</f>
        <v>goatsny@live.com</v>
      </c>
      <c r="H864" s="2" t="str">
        <f>_xlfn.XLOOKUP(C864,customers!$A$1:$A$1001,customers!$G$1:$G$1001,,0)</f>
        <v>United States</v>
      </c>
      <c r="I864" t="str">
        <f>_xlfn.XLOOKUP(D864,products!$A$1:$A$49,products!$B$1:$B$49,,0)</f>
        <v>Rob</v>
      </c>
      <c r="J864" t="str">
        <f>_xlfn.XLOOKUP(D864,products!$A$1:$A$49,products!$C$1:$C$49,,0)</f>
        <v>M</v>
      </c>
      <c r="K864" s="5">
        <f>_xlfn.XLOOKUP(D864,products!$A$1:$A$49,products!$D$1:$D$49,,0)</f>
        <v>1</v>
      </c>
      <c r="L864" s="7">
        <f>_xlfn.XLOOKUP(D864,products!$A$1:$A$49,products!$E$1:$E$49,,0)</f>
        <v>9.9499999999999993</v>
      </c>
      <c r="M864" s="7">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IF(_xlfn.XLOOKUP(F865,customers!$B$1:$B$1001,customers!$C$1:$C$1001,,0)=0,"",_xlfn.XLOOKUP(F865,customers!$B$1:$B$1001,customers!$C$1:$C$1001,,0))</f>
        <v>mbirkinnz@java.com</v>
      </c>
      <c r="H865" s="2" t="str">
        <f>_xlfn.XLOOKUP(C865,customers!$A$1:$A$1001,customers!$G$1:$G$1001,,0)</f>
        <v>United States</v>
      </c>
      <c r="I865" t="str">
        <f>_xlfn.XLOOKUP(D865,products!$A$1:$A$49,products!$B$1:$B$49,,0)</f>
        <v>Lib</v>
      </c>
      <c r="J865" t="str">
        <f>_xlfn.XLOOKUP(D865,products!$A$1:$A$49,products!$C$1:$C$49,,0)</f>
        <v>M</v>
      </c>
      <c r="K865" s="5">
        <f>_xlfn.XLOOKUP(D865,products!$A$1:$A$49,products!$D$1:$D$49,,0)</f>
        <v>1</v>
      </c>
      <c r="L865" s="7">
        <f>_xlfn.XLOOKUP(D865,products!$A$1:$A$49,products!$E$1:$E$49,,0)</f>
        <v>14.55</v>
      </c>
      <c r="M865" s="7">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IF(_xlfn.XLOOKUP(F866,customers!$B$1:$B$1001,customers!$C$1:$C$1001,,0)=0,"",_xlfn.XLOOKUP(F866,customers!$B$1:$B$1001,customers!$C$1:$C$1001,,0))</f>
        <v>rpysono0@constantcontact.com</v>
      </c>
      <c r="H866" s="2" t="str">
        <f>_xlfn.XLOOKUP(C866,customers!$A$1:$A$1001,customers!$G$1:$G$1001,,0)</f>
        <v>Ireland</v>
      </c>
      <c r="I866" t="str">
        <f>_xlfn.XLOOKUP(D866,products!$A$1:$A$49,products!$B$1:$B$49,,0)</f>
        <v>Rob</v>
      </c>
      <c r="J866" t="str">
        <f>_xlfn.XLOOKUP(D866,products!$A$1:$A$49,products!$C$1:$C$49,,0)</f>
        <v>L</v>
      </c>
      <c r="K866" s="5">
        <f>_xlfn.XLOOKUP(D866,products!$A$1:$A$49,products!$D$1:$D$49,,0)</f>
        <v>0.2</v>
      </c>
      <c r="L866" s="7">
        <f>_xlfn.XLOOKUP(D866,products!$A$1:$A$49,products!$E$1:$E$49,,0)</f>
        <v>3.5849999999999995</v>
      </c>
      <c r="M866" s="7">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IF(_xlfn.XLOOKUP(F867,customers!$B$1:$B$1001,customers!$C$1:$C$1001,,0)=0,"",_xlfn.XLOOKUP(F867,customers!$B$1:$B$1001,customers!$C$1:$C$1001,,0))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5">
        <f>_xlfn.XLOOKUP(D867,products!$A$1:$A$49,products!$D$1:$D$49,,0)</f>
        <v>0.5</v>
      </c>
      <c r="L867" s="7">
        <f>_xlfn.XLOOKUP(D867,products!$A$1:$A$49,products!$E$1:$E$49,,0)</f>
        <v>6.75</v>
      </c>
      <c r="M867" s="7">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IF(_xlfn.XLOOKUP(F868,customers!$B$1:$B$1001,customers!$C$1:$C$1001,,0)=0,"",_xlfn.XLOOKUP(F868,customers!$B$1:$B$1001,customers!$C$1:$C$1001,,0))</f>
        <v>rtreachero2@usa.gov</v>
      </c>
      <c r="H868" s="2" t="str">
        <f>_xlfn.XLOOKUP(C868,customers!$A$1:$A$1001,customers!$G$1:$G$1001,,0)</f>
        <v>Ireland</v>
      </c>
      <c r="I868" t="str">
        <f>_xlfn.XLOOKUP(D868,products!$A$1:$A$49,products!$B$1:$B$49,,0)</f>
        <v>Ara</v>
      </c>
      <c r="J868" t="str">
        <f>_xlfn.XLOOKUP(D868,products!$A$1:$A$49,products!$C$1:$C$49,,0)</f>
        <v>D</v>
      </c>
      <c r="K868" s="5">
        <f>_xlfn.XLOOKUP(D868,products!$A$1:$A$49,products!$D$1:$D$49,,0)</f>
        <v>0.5</v>
      </c>
      <c r="L868" s="7">
        <f>_xlfn.XLOOKUP(D868,products!$A$1:$A$49,products!$E$1:$E$49,,0)</f>
        <v>5.97</v>
      </c>
      <c r="M868" s="7">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IF(_xlfn.XLOOKUP(F869,customers!$B$1:$B$1001,customers!$C$1:$C$1001,,0)=0,"",_xlfn.XLOOKUP(F869,customers!$B$1:$B$1001,customers!$C$1:$C$1001,,0))</f>
        <v>bfattorinio3@quantcast.com</v>
      </c>
      <c r="H869" s="2" t="str">
        <f>_xlfn.XLOOKUP(C869,customers!$A$1:$A$1001,customers!$G$1:$G$1001,,0)</f>
        <v>Ireland</v>
      </c>
      <c r="I869" t="str">
        <f>_xlfn.XLOOKUP(D869,products!$A$1:$A$49,products!$B$1:$B$49,,0)</f>
        <v>Ara</v>
      </c>
      <c r="J869" t="str">
        <f>_xlfn.XLOOKUP(D869,products!$A$1:$A$49,products!$C$1:$C$49,,0)</f>
        <v>L</v>
      </c>
      <c r="K869" s="5">
        <f>_xlfn.XLOOKUP(D869,products!$A$1:$A$49,products!$D$1:$D$49,,0)</f>
        <v>2.5</v>
      </c>
      <c r="L869" s="7">
        <f>_xlfn.XLOOKUP(D869,products!$A$1:$A$49,products!$E$1:$E$49,,0)</f>
        <v>29.784999999999997</v>
      </c>
      <c r="M869" s="7">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IF(_xlfn.XLOOKUP(F870,customers!$B$1:$B$1001,customers!$C$1:$C$1001,,0)=0,"",_xlfn.XLOOKUP(F870,customers!$B$1:$B$1001,customers!$C$1:$C$1001,,0))</f>
        <v>mpalleskeo4@nyu.edu</v>
      </c>
      <c r="H870" s="2" t="str">
        <f>_xlfn.XLOOKUP(C870,customers!$A$1:$A$1001,customers!$G$1:$G$1001,,0)</f>
        <v>United States</v>
      </c>
      <c r="I870" t="str">
        <f>_xlfn.XLOOKUP(D870,products!$A$1:$A$49,products!$B$1:$B$49,,0)</f>
        <v>Exc</v>
      </c>
      <c r="J870" t="str">
        <f>_xlfn.XLOOKUP(D870,products!$A$1:$A$49,products!$C$1:$C$49,,0)</f>
        <v>M</v>
      </c>
      <c r="K870" s="5">
        <f>_xlfn.XLOOKUP(D870,products!$A$1:$A$49,products!$D$1:$D$49,,0)</f>
        <v>0.5</v>
      </c>
      <c r="L870" s="7">
        <f>_xlfn.XLOOKUP(D870,products!$A$1:$A$49,products!$E$1:$E$49,,0)</f>
        <v>8.25</v>
      </c>
      <c r="M870" s="7">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IF(_xlfn.XLOOKUP(F871,customers!$B$1:$B$1001,customers!$C$1:$C$1001,,0)=0,"",_xlfn.XLOOKUP(F871,customers!$B$1:$B$1001,customers!$C$1:$C$1001,,0))</f>
        <v/>
      </c>
      <c r="H871" s="2" t="str">
        <f>_xlfn.XLOOKUP(C871,customers!$A$1:$A$1001,customers!$G$1:$G$1001,,0)</f>
        <v>United States</v>
      </c>
      <c r="I871" t="str">
        <f>_xlfn.XLOOKUP(D871,products!$A$1:$A$49,products!$B$1:$B$49,,0)</f>
        <v>Rob</v>
      </c>
      <c r="J871" t="str">
        <f>_xlfn.XLOOKUP(D871,products!$A$1:$A$49,products!$C$1:$C$49,,0)</f>
        <v>M</v>
      </c>
      <c r="K871" s="5">
        <f>_xlfn.XLOOKUP(D871,products!$A$1:$A$49,products!$D$1:$D$49,,0)</f>
        <v>0.5</v>
      </c>
      <c r="L871" s="7">
        <f>_xlfn.XLOOKUP(D871,products!$A$1:$A$49,products!$E$1:$E$49,,0)</f>
        <v>5.97</v>
      </c>
      <c r="M871" s="7">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IF(_xlfn.XLOOKUP(F872,customers!$B$1:$B$1001,customers!$C$1:$C$1001,,0)=0,"",_xlfn.XLOOKUP(F872,customers!$B$1:$B$1001,customers!$C$1:$C$1001,,0))</f>
        <v>fantcliffeo6@amazon.co.jp</v>
      </c>
      <c r="H872" s="2" t="str">
        <f>_xlfn.XLOOKUP(C872,customers!$A$1:$A$1001,customers!$G$1:$G$1001,,0)</f>
        <v>Ireland</v>
      </c>
      <c r="I872" t="str">
        <f>_xlfn.XLOOKUP(D872,products!$A$1:$A$49,products!$B$1:$B$49,,0)</f>
        <v>Exc</v>
      </c>
      <c r="J872" t="str">
        <f>_xlfn.XLOOKUP(D872,products!$A$1:$A$49,products!$C$1:$C$49,,0)</f>
        <v>D</v>
      </c>
      <c r="K872" s="5">
        <f>_xlfn.XLOOKUP(D872,products!$A$1:$A$49,products!$D$1:$D$49,,0)</f>
        <v>0.5</v>
      </c>
      <c r="L872" s="7">
        <f>_xlfn.XLOOKUP(D872,products!$A$1:$A$49,products!$E$1:$E$49,,0)</f>
        <v>7.29</v>
      </c>
      <c r="M872" s="7">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IF(_xlfn.XLOOKUP(F873,customers!$B$1:$B$1001,customers!$C$1:$C$1001,,0)=0,"",_xlfn.XLOOKUP(F873,customers!$B$1:$B$1001,customers!$C$1:$C$1001,,0))</f>
        <v>pmatignono7@harvard.edu</v>
      </c>
      <c r="H873" s="2" t="str">
        <f>_xlfn.XLOOKUP(C873,customers!$A$1:$A$1001,customers!$G$1:$G$1001,,0)</f>
        <v>United Kingdom</v>
      </c>
      <c r="I873" t="str">
        <f>_xlfn.XLOOKUP(D873,products!$A$1:$A$49,products!$B$1:$B$49,,0)</f>
        <v>Exc</v>
      </c>
      <c r="J873" t="str">
        <f>_xlfn.XLOOKUP(D873,products!$A$1:$A$49,products!$C$1:$C$49,,0)</f>
        <v>L</v>
      </c>
      <c r="K873" s="5">
        <f>_xlfn.XLOOKUP(D873,products!$A$1:$A$49,products!$D$1:$D$49,,0)</f>
        <v>1</v>
      </c>
      <c r="L873" s="7">
        <f>_xlfn.XLOOKUP(D873,products!$A$1:$A$49,products!$E$1:$E$49,,0)</f>
        <v>14.85</v>
      </c>
      <c r="M873" s="7">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IF(_xlfn.XLOOKUP(F874,customers!$B$1:$B$1001,customers!$C$1:$C$1001,,0)=0,"",_xlfn.XLOOKUP(F874,customers!$B$1:$B$1001,customers!$C$1:$C$1001,,0))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5">
        <f>_xlfn.XLOOKUP(D874,products!$A$1:$A$49,products!$D$1:$D$49,,0)</f>
        <v>1</v>
      </c>
      <c r="L874" s="7">
        <f>_xlfn.XLOOKUP(D874,products!$A$1:$A$49,products!$E$1:$E$49,,0)</f>
        <v>11.25</v>
      </c>
      <c r="M874" s="7">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IF(_xlfn.XLOOKUP(F875,customers!$B$1:$B$1001,customers!$C$1:$C$1001,,0)=0,"",_xlfn.XLOOKUP(F875,customers!$B$1:$B$1001,customers!$C$1:$C$1001,,0))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5">
        <f>_xlfn.XLOOKUP(D875,products!$A$1:$A$49,products!$D$1:$D$49,,0)</f>
        <v>0.2</v>
      </c>
      <c r="L875" s="7">
        <f>_xlfn.XLOOKUP(D875,products!$A$1:$A$49,products!$E$1:$E$49,,0)</f>
        <v>2.9849999999999999</v>
      </c>
      <c r="M875" s="7">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IF(_xlfn.XLOOKUP(F876,customers!$B$1:$B$1001,customers!$C$1:$C$1001,,0)=0,"",_xlfn.XLOOKUP(F876,customers!$B$1:$B$1001,customers!$C$1:$C$1001,,0))</f>
        <v>jskentelberyoa@paypal.com</v>
      </c>
      <c r="H876" s="2" t="str">
        <f>_xlfn.XLOOKUP(C876,customers!$A$1:$A$1001,customers!$G$1:$G$1001,,0)</f>
        <v>United States</v>
      </c>
      <c r="I876" t="str">
        <f>_xlfn.XLOOKUP(D876,products!$A$1:$A$49,products!$B$1:$B$49,,0)</f>
        <v>Ara</v>
      </c>
      <c r="J876" t="str">
        <f>_xlfn.XLOOKUP(D876,products!$A$1:$A$49,products!$C$1:$C$49,,0)</f>
        <v>L</v>
      </c>
      <c r="K876" s="5">
        <f>_xlfn.XLOOKUP(D876,products!$A$1:$A$49,products!$D$1:$D$49,,0)</f>
        <v>1</v>
      </c>
      <c r="L876" s="7">
        <f>_xlfn.XLOOKUP(D876,products!$A$1:$A$49,products!$E$1:$E$49,,0)</f>
        <v>12.95</v>
      </c>
      <c r="M876" s="7">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IF(_xlfn.XLOOKUP(F877,customers!$B$1:$B$1001,customers!$C$1:$C$1001,,0)=0,"",_xlfn.XLOOKUP(F877,customers!$B$1:$B$1001,customers!$C$1:$C$1001,,0))</f>
        <v>ocomberob@goo.gl</v>
      </c>
      <c r="H877" s="2" t="str">
        <f>_xlfn.XLOOKUP(C877,customers!$A$1:$A$1001,customers!$G$1:$G$1001,,0)</f>
        <v>Ireland</v>
      </c>
      <c r="I877" t="str">
        <f>_xlfn.XLOOKUP(D877,products!$A$1:$A$49,products!$B$1:$B$49,,0)</f>
        <v>Lib</v>
      </c>
      <c r="J877" t="str">
        <f>_xlfn.XLOOKUP(D877,products!$A$1:$A$49,products!$C$1:$C$49,,0)</f>
        <v>M</v>
      </c>
      <c r="K877" s="5">
        <f>_xlfn.XLOOKUP(D877,products!$A$1:$A$49,products!$D$1:$D$49,,0)</f>
        <v>0.5</v>
      </c>
      <c r="L877" s="7">
        <f>_xlfn.XLOOKUP(D877,products!$A$1:$A$49,products!$E$1:$E$49,,0)</f>
        <v>8.73</v>
      </c>
      <c r="M877" s="7">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IF(_xlfn.XLOOKUP(F878,customers!$B$1:$B$1001,customers!$C$1:$C$1001,,0)=0,"",_xlfn.XLOOKUP(F878,customers!$B$1:$B$1001,customers!$C$1:$C$1001,,0))</f>
        <v>ocomberob@goo.gl</v>
      </c>
      <c r="H878" s="2" t="str">
        <f>_xlfn.XLOOKUP(C878,customers!$A$1:$A$1001,customers!$G$1:$G$1001,,0)</f>
        <v>Ireland</v>
      </c>
      <c r="I878" t="str">
        <f>_xlfn.XLOOKUP(D878,products!$A$1:$A$49,products!$B$1:$B$49,,0)</f>
        <v>Ara</v>
      </c>
      <c r="J878" t="str">
        <f>_xlfn.XLOOKUP(D878,products!$A$1:$A$49,products!$C$1:$C$49,,0)</f>
        <v>L</v>
      </c>
      <c r="K878" s="5">
        <f>_xlfn.XLOOKUP(D878,products!$A$1:$A$49,products!$D$1:$D$49,,0)</f>
        <v>0.5</v>
      </c>
      <c r="L878" s="7">
        <f>_xlfn.XLOOKUP(D878,products!$A$1:$A$49,products!$E$1:$E$49,,0)</f>
        <v>7.77</v>
      </c>
      <c r="M878" s="7">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IF(_xlfn.XLOOKUP(F879,customers!$B$1:$B$1001,customers!$C$1:$C$1001,,0)=0,"",_xlfn.XLOOKUP(F879,customers!$B$1:$B$1001,customers!$C$1:$C$1001,,0))</f>
        <v>ztramelod@netlog.com</v>
      </c>
      <c r="H879" s="2" t="str">
        <f>_xlfn.XLOOKUP(C879,customers!$A$1:$A$1001,customers!$G$1:$G$1001,,0)</f>
        <v>United States</v>
      </c>
      <c r="I879" t="str">
        <f>_xlfn.XLOOKUP(D879,products!$A$1:$A$49,products!$B$1:$B$49,,0)</f>
        <v>Lib</v>
      </c>
      <c r="J879" t="str">
        <f>_xlfn.XLOOKUP(D879,products!$A$1:$A$49,products!$C$1:$C$49,,0)</f>
        <v>L</v>
      </c>
      <c r="K879" s="5">
        <f>_xlfn.XLOOKUP(D879,products!$A$1:$A$49,products!$D$1:$D$49,,0)</f>
        <v>0.5</v>
      </c>
      <c r="L879" s="7">
        <f>_xlfn.XLOOKUP(D879,products!$A$1:$A$49,products!$E$1:$E$49,,0)</f>
        <v>9.51</v>
      </c>
      <c r="M879" s="7">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IF(_xlfn.XLOOKUP(F880,customers!$B$1:$B$1001,customers!$C$1:$C$1001,,0)=0,"",_xlfn.XLOOKUP(F880,customers!$B$1:$B$1001,customers!$C$1:$C$1001,,0))</f>
        <v/>
      </c>
      <c r="H880" s="2" t="str">
        <f>_xlfn.XLOOKUP(C880,customers!$A$1:$A$1001,customers!$G$1:$G$1001,,0)</f>
        <v>United States</v>
      </c>
      <c r="I880" t="str">
        <f>_xlfn.XLOOKUP(D880,products!$A$1:$A$49,products!$B$1:$B$49,,0)</f>
        <v>Rob</v>
      </c>
      <c r="J880" t="str">
        <f>_xlfn.XLOOKUP(D880,products!$A$1:$A$49,products!$C$1:$C$49,,0)</f>
        <v>L</v>
      </c>
      <c r="K880" s="5">
        <f>_xlfn.XLOOKUP(D880,products!$A$1:$A$49,products!$D$1:$D$49,,0)</f>
        <v>2.5</v>
      </c>
      <c r="L880" s="7">
        <f>_xlfn.XLOOKUP(D880,products!$A$1:$A$49,products!$E$1:$E$49,,0)</f>
        <v>27.484999999999996</v>
      </c>
      <c r="M880" s="7">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IF(_xlfn.XLOOKUP(F881,customers!$B$1:$B$1001,customers!$C$1:$C$1001,,0)=0,"",_xlfn.XLOOKUP(F881,customers!$B$1:$B$1001,customers!$C$1:$C$1001,,0))</f>
        <v/>
      </c>
      <c r="H881" s="2" t="str">
        <f>_xlfn.XLOOKUP(C881,customers!$A$1:$A$1001,customers!$G$1:$G$1001,,0)</f>
        <v>United States</v>
      </c>
      <c r="I881" t="str">
        <f>_xlfn.XLOOKUP(D881,products!$A$1:$A$49,products!$B$1:$B$49,,0)</f>
        <v>Exc</v>
      </c>
      <c r="J881" t="str">
        <f>_xlfn.XLOOKUP(D881,products!$A$1:$A$49,products!$C$1:$C$49,,0)</f>
        <v>D</v>
      </c>
      <c r="K881" s="5">
        <f>_xlfn.XLOOKUP(D881,products!$A$1:$A$49,products!$D$1:$D$49,,0)</f>
        <v>0.2</v>
      </c>
      <c r="L881" s="7">
        <f>_xlfn.XLOOKUP(D881,products!$A$1:$A$49,products!$E$1:$E$49,,0)</f>
        <v>3.645</v>
      </c>
      <c r="M881" s="7">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IF(_xlfn.XLOOKUP(F882,customers!$B$1:$B$1001,customers!$C$1:$C$1001,,0)=0,"",_xlfn.XLOOKUP(F882,customers!$B$1:$B$1001,customers!$C$1:$C$1001,,0))</f>
        <v>chatfullog@ebay.com</v>
      </c>
      <c r="H882" s="2" t="str">
        <f>_xlfn.XLOOKUP(C882,customers!$A$1:$A$1001,customers!$G$1:$G$1001,,0)</f>
        <v>United States</v>
      </c>
      <c r="I882" t="str">
        <f>_xlfn.XLOOKUP(D882,products!$A$1:$A$49,products!$B$1:$B$49,,0)</f>
        <v>Rob</v>
      </c>
      <c r="J882" t="str">
        <f>_xlfn.XLOOKUP(D882,products!$A$1:$A$49,products!$C$1:$C$49,,0)</f>
        <v>L</v>
      </c>
      <c r="K882" s="5">
        <f>_xlfn.XLOOKUP(D882,products!$A$1:$A$49,products!$D$1:$D$49,,0)</f>
        <v>0.2</v>
      </c>
      <c r="L882" s="7">
        <f>_xlfn.XLOOKUP(D882,products!$A$1:$A$49,products!$E$1:$E$49,,0)</f>
        <v>3.5849999999999995</v>
      </c>
      <c r="M882" s="7">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IF(_xlfn.XLOOKUP(F883,customers!$B$1:$B$1001,customers!$C$1:$C$1001,,0)=0,"",_xlfn.XLOOKUP(F883,customers!$B$1:$B$1001,customers!$C$1:$C$1001,,0))</f>
        <v/>
      </c>
      <c r="H883" s="2" t="str">
        <f>_xlfn.XLOOKUP(C883,customers!$A$1:$A$1001,customers!$G$1:$G$1001,,0)</f>
        <v>United States</v>
      </c>
      <c r="I883" t="str">
        <f>_xlfn.XLOOKUP(D883,products!$A$1:$A$49,products!$B$1:$B$49,,0)</f>
        <v>Ara</v>
      </c>
      <c r="J883" t="str">
        <f>_xlfn.XLOOKUP(D883,products!$A$1:$A$49,products!$C$1:$C$49,,0)</f>
        <v>L</v>
      </c>
      <c r="K883" s="5">
        <f>_xlfn.XLOOKUP(D883,products!$A$1:$A$49,products!$D$1:$D$49,,0)</f>
        <v>0.2</v>
      </c>
      <c r="L883" s="7">
        <f>_xlfn.XLOOKUP(D883,products!$A$1:$A$49,products!$E$1:$E$49,,0)</f>
        <v>3.8849999999999998</v>
      </c>
      <c r="M883" s="7">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IF(_xlfn.XLOOKUP(F884,customers!$B$1:$B$1001,customers!$C$1:$C$1001,,0)=0,"",_xlfn.XLOOKUP(F884,customers!$B$1:$B$1001,customers!$C$1:$C$1001,,0))</f>
        <v>kmarrisonoq@dropbox.com</v>
      </c>
      <c r="H884" s="2" t="str">
        <f>_xlfn.XLOOKUP(C884,customers!$A$1:$A$1001,customers!$G$1:$G$1001,,0)</f>
        <v>United States</v>
      </c>
      <c r="I884" t="str">
        <f>_xlfn.XLOOKUP(D884,products!$A$1:$A$49,products!$B$1:$B$49,,0)</f>
        <v>Ara</v>
      </c>
      <c r="J884" t="str">
        <f>_xlfn.XLOOKUP(D884,products!$A$1:$A$49,products!$C$1:$C$49,,0)</f>
        <v>D</v>
      </c>
      <c r="K884" s="5">
        <f>_xlfn.XLOOKUP(D884,products!$A$1:$A$49,products!$D$1:$D$49,,0)</f>
        <v>2.5</v>
      </c>
      <c r="L884" s="7">
        <f>_xlfn.XLOOKUP(D884,products!$A$1:$A$49,products!$E$1:$E$49,,0)</f>
        <v>22.884999999999998</v>
      </c>
      <c r="M884" s="7">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IF(_xlfn.XLOOKUP(F885,customers!$B$1:$B$1001,customers!$C$1:$C$1001,,0)=0,"",_xlfn.XLOOKUP(F885,customers!$B$1:$B$1001,customers!$C$1:$C$1001,,0))</f>
        <v>lagnolooj@pinterest.com</v>
      </c>
      <c r="H885" s="2" t="str">
        <f>_xlfn.XLOOKUP(C885,customers!$A$1:$A$1001,customers!$G$1:$G$1001,,0)</f>
        <v>United States</v>
      </c>
      <c r="I885" t="str">
        <f>_xlfn.XLOOKUP(D885,products!$A$1:$A$49,products!$B$1:$B$49,,0)</f>
        <v>Ara</v>
      </c>
      <c r="J885" t="str">
        <f>_xlfn.XLOOKUP(D885,products!$A$1:$A$49,products!$C$1:$C$49,,0)</f>
        <v>M</v>
      </c>
      <c r="K885" s="5">
        <f>_xlfn.XLOOKUP(D885,products!$A$1:$A$49,products!$D$1:$D$49,,0)</f>
        <v>2.5</v>
      </c>
      <c r="L885" s="7">
        <f>_xlfn.XLOOKUP(D885,products!$A$1:$A$49,products!$E$1:$E$49,,0)</f>
        <v>25.874999999999996</v>
      </c>
      <c r="M885" s="7">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IF(_xlfn.XLOOKUP(F886,customers!$B$1:$B$1001,customers!$C$1:$C$1001,,0)=0,"",_xlfn.XLOOKUP(F886,customers!$B$1:$B$1001,customers!$C$1:$C$1001,,0))</f>
        <v>dkiddyok@fda.gov</v>
      </c>
      <c r="H886" s="2" t="str">
        <f>_xlfn.XLOOKUP(C886,customers!$A$1:$A$1001,customers!$G$1:$G$1001,,0)</f>
        <v>United States</v>
      </c>
      <c r="I886" t="str">
        <f>_xlfn.XLOOKUP(D886,products!$A$1:$A$49,products!$B$1:$B$49,,0)</f>
        <v>Rob</v>
      </c>
      <c r="J886" t="str">
        <f>_xlfn.XLOOKUP(D886,products!$A$1:$A$49,products!$C$1:$C$49,,0)</f>
        <v>D</v>
      </c>
      <c r="K886" s="5">
        <f>_xlfn.XLOOKUP(D886,products!$A$1:$A$49,products!$D$1:$D$49,,0)</f>
        <v>0.5</v>
      </c>
      <c r="L886" s="7">
        <f>_xlfn.XLOOKUP(D886,products!$A$1:$A$49,products!$E$1:$E$49,,0)</f>
        <v>5.3699999999999992</v>
      </c>
      <c r="M886" s="7">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IF(_xlfn.XLOOKUP(F887,customers!$B$1:$B$1001,customers!$C$1:$C$1001,,0)=0,"",_xlfn.XLOOKUP(F887,customers!$B$1:$B$1001,customers!$C$1:$C$1001,,0))</f>
        <v>hpetroulisol@state.tx.us</v>
      </c>
      <c r="H887" s="2" t="str">
        <f>_xlfn.XLOOKUP(C887,customers!$A$1:$A$1001,customers!$G$1:$G$1001,,0)</f>
        <v>Ireland</v>
      </c>
      <c r="I887" t="str">
        <f>_xlfn.XLOOKUP(D887,products!$A$1:$A$49,products!$B$1:$B$49,,0)</f>
        <v>Rob</v>
      </c>
      <c r="J887" t="str">
        <f>_xlfn.XLOOKUP(D887,products!$A$1:$A$49,products!$C$1:$C$49,,0)</f>
        <v>D</v>
      </c>
      <c r="K887" s="5">
        <f>_xlfn.XLOOKUP(D887,products!$A$1:$A$49,products!$D$1:$D$49,,0)</f>
        <v>2.5</v>
      </c>
      <c r="L887" s="7">
        <f>_xlfn.XLOOKUP(D887,products!$A$1:$A$49,products!$E$1:$E$49,,0)</f>
        <v>20.584999999999997</v>
      </c>
      <c r="M887" s="7">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IF(_xlfn.XLOOKUP(F888,customers!$B$1:$B$1001,customers!$C$1:$C$1001,,0)=0,"",_xlfn.XLOOKUP(F888,customers!$B$1:$B$1001,customers!$C$1:$C$1001,,0))</f>
        <v>mschollom@taobao.com</v>
      </c>
      <c r="H888" s="2" t="str">
        <f>_xlfn.XLOOKUP(C888,customers!$A$1:$A$1001,customers!$G$1:$G$1001,,0)</f>
        <v>United States</v>
      </c>
      <c r="I888" t="str">
        <f>_xlfn.XLOOKUP(D888,products!$A$1:$A$49,products!$B$1:$B$49,,0)</f>
        <v>Lib</v>
      </c>
      <c r="J888" t="str">
        <f>_xlfn.XLOOKUP(D888,products!$A$1:$A$49,products!$C$1:$C$49,,0)</f>
        <v>M</v>
      </c>
      <c r="K888" s="5">
        <f>_xlfn.XLOOKUP(D888,products!$A$1:$A$49,products!$D$1:$D$49,,0)</f>
        <v>0.5</v>
      </c>
      <c r="L888" s="7">
        <f>_xlfn.XLOOKUP(D888,products!$A$1:$A$49,products!$E$1:$E$49,,0)</f>
        <v>8.73</v>
      </c>
      <c r="M888" s="7">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IF(_xlfn.XLOOKUP(F889,customers!$B$1:$B$1001,customers!$C$1:$C$1001,,0)=0,"",_xlfn.XLOOKUP(F889,customers!$B$1:$B$1001,customers!$C$1:$C$1001,,0))</f>
        <v>kfersonon@g.co</v>
      </c>
      <c r="H889" s="2" t="str">
        <f>_xlfn.XLOOKUP(C889,customers!$A$1:$A$1001,customers!$G$1:$G$1001,,0)</f>
        <v>United States</v>
      </c>
      <c r="I889" t="str">
        <f>_xlfn.XLOOKUP(D889,products!$A$1:$A$49,products!$B$1:$B$49,,0)</f>
        <v>Exc</v>
      </c>
      <c r="J889" t="str">
        <f>_xlfn.XLOOKUP(D889,products!$A$1:$A$49,products!$C$1:$C$49,,0)</f>
        <v>L</v>
      </c>
      <c r="K889" s="5">
        <f>_xlfn.XLOOKUP(D889,products!$A$1:$A$49,products!$D$1:$D$49,,0)</f>
        <v>0.2</v>
      </c>
      <c r="L889" s="7">
        <f>_xlfn.XLOOKUP(D889,products!$A$1:$A$49,products!$E$1:$E$49,,0)</f>
        <v>4.4550000000000001</v>
      </c>
      <c r="M889" s="7">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IF(_xlfn.XLOOKUP(F890,customers!$B$1:$B$1001,customers!$C$1:$C$1001,,0)=0,"",_xlfn.XLOOKUP(F890,customers!$B$1:$B$1001,customers!$C$1:$C$1001,,0))</f>
        <v>bkellowayoo@omniture.com</v>
      </c>
      <c r="H890" s="2" t="str">
        <f>_xlfn.XLOOKUP(C890,customers!$A$1:$A$1001,customers!$G$1:$G$1001,,0)</f>
        <v>United States</v>
      </c>
      <c r="I890" t="str">
        <f>_xlfn.XLOOKUP(D890,products!$A$1:$A$49,products!$B$1:$B$49,,0)</f>
        <v>Ara</v>
      </c>
      <c r="J890" t="str">
        <f>_xlfn.XLOOKUP(D890,products!$A$1:$A$49,products!$C$1:$C$49,,0)</f>
        <v>L</v>
      </c>
      <c r="K890" s="5">
        <f>_xlfn.XLOOKUP(D890,products!$A$1:$A$49,products!$D$1:$D$49,,0)</f>
        <v>0.2</v>
      </c>
      <c r="L890" s="7">
        <f>_xlfn.XLOOKUP(D890,products!$A$1:$A$49,products!$E$1:$E$49,,0)</f>
        <v>3.8849999999999998</v>
      </c>
      <c r="M890" s="7">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IF(_xlfn.XLOOKUP(F891,customers!$B$1:$B$1001,customers!$C$1:$C$1001,,0)=0,"",_xlfn.XLOOKUP(F891,customers!$B$1:$B$1001,customers!$C$1:$C$1001,,0))</f>
        <v>soliffeop@yellowbook.com</v>
      </c>
      <c r="H891" s="2" t="str">
        <f>_xlfn.XLOOKUP(C891,customers!$A$1:$A$1001,customers!$G$1:$G$1001,,0)</f>
        <v>United States</v>
      </c>
      <c r="I891" t="str">
        <f>_xlfn.XLOOKUP(D891,products!$A$1:$A$49,products!$B$1:$B$49,,0)</f>
        <v>Rob</v>
      </c>
      <c r="J891" t="str">
        <f>_xlfn.XLOOKUP(D891,products!$A$1:$A$49,products!$C$1:$C$49,,0)</f>
        <v>D</v>
      </c>
      <c r="K891" s="5">
        <f>_xlfn.XLOOKUP(D891,products!$A$1:$A$49,products!$D$1:$D$49,,0)</f>
        <v>0.2</v>
      </c>
      <c r="L891" s="7">
        <f>_xlfn.XLOOKUP(D891,products!$A$1:$A$49,products!$E$1:$E$49,,0)</f>
        <v>2.6849999999999996</v>
      </c>
      <c r="M891" s="7">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IF(_xlfn.XLOOKUP(F892,customers!$B$1:$B$1001,customers!$C$1:$C$1001,,0)=0,"",_xlfn.XLOOKUP(F892,customers!$B$1:$B$1001,customers!$C$1:$C$1001,,0))</f>
        <v>kmarrisonoq@dropbox.com</v>
      </c>
      <c r="H892" s="2" t="str">
        <f>_xlfn.XLOOKUP(C892,customers!$A$1:$A$1001,customers!$G$1:$G$1001,,0)</f>
        <v>United States</v>
      </c>
      <c r="I892" t="str">
        <f>_xlfn.XLOOKUP(D892,products!$A$1:$A$49,products!$B$1:$B$49,,0)</f>
        <v>Rob</v>
      </c>
      <c r="J892" t="str">
        <f>_xlfn.XLOOKUP(D892,products!$A$1:$A$49,products!$C$1:$C$49,,0)</f>
        <v>D</v>
      </c>
      <c r="K892" s="5">
        <f>_xlfn.XLOOKUP(D892,products!$A$1:$A$49,products!$D$1:$D$49,,0)</f>
        <v>2.5</v>
      </c>
      <c r="L892" s="7">
        <f>_xlfn.XLOOKUP(D892,products!$A$1:$A$49,products!$E$1:$E$49,,0)</f>
        <v>20.584999999999997</v>
      </c>
      <c r="M892" s="7">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IF(_xlfn.XLOOKUP(F893,customers!$B$1:$B$1001,customers!$C$1:$C$1001,,0)=0,"",_xlfn.XLOOKUP(F893,customers!$B$1:$B$1001,customers!$C$1:$C$1001,,0))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5">
        <f>_xlfn.XLOOKUP(D893,products!$A$1:$A$49,products!$D$1:$D$49,,0)</f>
        <v>2.5</v>
      </c>
      <c r="L893" s="7">
        <f>_xlfn.XLOOKUP(D893,products!$A$1:$A$49,products!$E$1:$E$49,,0)</f>
        <v>22.884999999999998</v>
      </c>
      <c r="M893" s="7">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IF(_xlfn.XLOOKUP(F894,customers!$B$1:$B$1001,customers!$C$1:$C$1001,,0)=0,"",_xlfn.XLOOKUP(F894,customers!$B$1:$B$1001,customers!$C$1:$C$1001,,0))</f>
        <v>pvasilenkoos@addtoany.com</v>
      </c>
      <c r="H894" s="2" t="str">
        <f>_xlfn.XLOOKUP(C894,customers!$A$1:$A$1001,customers!$G$1:$G$1001,,0)</f>
        <v>United Kingdom</v>
      </c>
      <c r="I894" t="str">
        <f>_xlfn.XLOOKUP(D894,products!$A$1:$A$49,products!$B$1:$B$49,,0)</f>
        <v>Exc</v>
      </c>
      <c r="J894" t="str">
        <f>_xlfn.XLOOKUP(D894,products!$A$1:$A$49,products!$C$1:$C$49,,0)</f>
        <v>M</v>
      </c>
      <c r="K894" s="5">
        <f>_xlfn.XLOOKUP(D894,products!$A$1:$A$49,products!$D$1:$D$49,,0)</f>
        <v>0.2</v>
      </c>
      <c r="L894" s="7">
        <f>_xlfn.XLOOKUP(D894,products!$A$1:$A$49,products!$E$1:$E$49,,0)</f>
        <v>4.125</v>
      </c>
      <c r="M894" s="7">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IF(_xlfn.XLOOKUP(F895,customers!$B$1:$B$1001,customers!$C$1:$C$1001,,0)=0,"",_xlfn.XLOOKUP(F895,customers!$B$1:$B$1001,customers!$C$1:$C$1001,,0))</f>
        <v>rschankelborgot@ameblo.jp</v>
      </c>
      <c r="H895" s="2" t="str">
        <f>_xlfn.XLOOKUP(C895,customers!$A$1:$A$1001,customers!$G$1:$G$1001,,0)</f>
        <v>United States</v>
      </c>
      <c r="I895" t="str">
        <f>_xlfn.XLOOKUP(D895,products!$A$1:$A$49,products!$B$1:$B$49,,0)</f>
        <v>Lib</v>
      </c>
      <c r="J895" t="str">
        <f>_xlfn.XLOOKUP(D895,products!$A$1:$A$49,products!$C$1:$C$49,,0)</f>
        <v>L</v>
      </c>
      <c r="K895" s="5">
        <f>_xlfn.XLOOKUP(D895,products!$A$1:$A$49,products!$D$1:$D$49,,0)</f>
        <v>0.5</v>
      </c>
      <c r="L895" s="7">
        <f>_xlfn.XLOOKUP(D895,products!$A$1:$A$49,products!$E$1:$E$49,,0)</f>
        <v>9.51</v>
      </c>
      <c r="M895" s="7">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IF(_xlfn.XLOOKUP(F896,customers!$B$1:$B$1001,customers!$C$1:$C$1001,,0)=0,"",_xlfn.XLOOKUP(F896,customers!$B$1:$B$1001,customers!$C$1:$C$1001,,0))</f>
        <v/>
      </c>
      <c r="H896" s="2" t="str">
        <f>_xlfn.XLOOKUP(C896,customers!$A$1:$A$1001,customers!$G$1:$G$1001,,0)</f>
        <v>Ireland</v>
      </c>
      <c r="I896" t="str">
        <f>_xlfn.XLOOKUP(D896,products!$A$1:$A$49,products!$B$1:$B$49,,0)</f>
        <v>Rob</v>
      </c>
      <c r="J896" t="str">
        <f>_xlfn.XLOOKUP(D896,products!$A$1:$A$49,products!$C$1:$C$49,,0)</f>
        <v>D</v>
      </c>
      <c r="K896" s="5">
        <f>_xlfn.XLOOKUP(D896,products!$A$1:$A$49,products!$D$1:$D$49,,0)</f>
        <v>2.5</v>
      </c>
      <c r="L896" s="7">
        <f>_xlfn.XLOOKUP(D896,products!$A$1:$A$49,products!$E$1:$E$49,,0)</f>
        <v>20.584999999999997</v>
      </c>
      <c r="M896" s="7">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IF(_xlfn.XLOOKUP(F897,customers!$B$1:$B$1001,customers!$C$1:$C$1001,,0)=0,"",_xlfn.XLOOKUP(F897,customers!$B$1:$B$1001,customers!$C$1:$C$1001,,0))</f>
        <v/>
      </c>
      <c r="H897" s="2" t="str">
        <f>_xlfn.XLOOKUP(C897,customers!$A$1:$A$1001,customers!$G$1:$G$1001,,0)</f>
        <v>United States</v>
      </c>
      <c r="I897" t="str">
        <f>_xlfn.XLOOKUP(D897,products!$A$1:$A$49,products!$B$1:$B$49,,0)</f>
        <v>Exc</v>
      </c>
      <c r="J897" t="str">
        <f>_xlfn.XLOOKUP(D897,products!$A$1:$A$49,products!$C$1:$C$49,,0)</f>
        <v>M</v>
      </c>
      <c r="K897" s="5">
        <f>_xlfn.XLOOKUP(D897,products!$A$1:$A$49,products!$D$1:$D$49,,0)</f>
        <v>2.5</v>
      </c>
      <c r="L897" s="7">
        <f>_xlfn.XLOOKUP(D897,products!$A$1:$A$49,products!$E$1:$E$49,,0)</f>
        <v>31.624999999999996</v>
      </c>
      <c r="M897" s="7">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IF(_xlfn.XLOOKUP(F898,customers!$B$1:$B$1001,customers!$C$1:$C$1001,,0)=0,"",_xlfn.XLOOKUP(F898,customers!$B$1:$B$1001,customers!$C$1:$C$1001,,0))</f>
        <v>bcargenow@geocities.jp</v>
      </c>
      <c r="H898" s="2" t="str">
        <f>_xlfn.XLOOKUP(C898,customers!$A$1:$A$1001,customers!$G$1:$G$1001,,0)</f>
        <v>United States</v>
      </c>
      <c r="I898" t="str">
        <f>_xlfn.XLOOKUP(D898,products!$A$1:$A$49,products!$B$1:$B$49,,0)</f>
        <v>Rob</v>
      </c>
      <c r="J898" t="str">
        <f>_xlfn.XLOOKUP(D898,products!$A$1:$A$49,products!$C$1:$C$49,,0)</f>
        <v>D</v>
      </c>
      <c r="K898" s="5">
        <f>_xlfn.XLOOKUP(D898,products!$A$1:$A$49,products!$D$1:$D$49,,0)</f>
        <v>0.5</v>
      </c>
      <c r="L898" s="7">
        <f>_xlfn.XLOOKUP(D898,products!$A$1:$A$49,products!$E$1:$E$49,,0)</f>
        <v>5.3699999999999992</v>
      </c>
      <c r="M898" s="7">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IF(_xlfn.XLOOKUP(F899,customers!$B$1:$B$1001,customers!$C$1:$C$1001,,0)=0,"",_xlfn.XLOOKUP(F899,customers!$B$1:$B$1001,customers!$C$1:$C$1001,,0))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5">
        <f>_xlfn.XLOOKUP(D899,products!$A$1:$A$49,products!$D$1:$D$49,,0)</f>
        <v>1</v>
      </c>
      <c r="L899" s="7">
        <f>_xlfn.XLOOKUP(D899,products!$A$1:$A$49,products!$E$1:$E$49,,0)</f>
        <v>12.15</v>
      </c>
      <c r="M899" s="7">
        <f t="shared" ref="M899:M962" si="42">(L899*E899)</f>
        <v>24.3</v>
      </c>
      <c r="N899" t="str">
        <f t="shared" ref="N899:N962" si="43">IF(I899="Rob","Robusta", 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IF(_xlfn.XLOOKUP(F900,customers!$B$1:$B$1001,customers!$C$1:$C$1001,,0)=0,"",_xlfn.XLOOKUP(F900,customers!$B$1:$B$1001,customers!$C$1:$C$1001,,0))</f>
        <v/>
      </c>
      <c r="H900" s="2" t="str">
        <f>_xlfn.XLOOKUP(C900,customers!$A$1:$A$1001,customers!$G$1:$G$1001,,0)</f>
        <v>United States</v>
      </c>
      <c r="I900" t="str">
        <f>_xlfn.XLOOKUP(D900,products!$A$1:$A$49,products!$B$1:$B$49,,0)</f>
        <v>Rob</v>
      </c>
      <c r="J900" t="str">
        <f>_xlfn.XLOOKUP(D900,products!$A$1:$A$49,products!$C$1:$C$49,,0)</f>
        <v>L</v>
      </c>
      <c r="K900" s="5">
        <f>_xlfn.XLOOKUP(D900,products!$A$1:$A$49,products!$D$1:$D$49,,0)</f>
        <v>0.5</v>
      </c>
      <c r="L900" s="7">
        <f>_xlfn.XLOOKUP(D900,products!$A$1:$A$49,products!$E$1:$E$49,,0)</f>
        <v>7.169999999999999</v>
      </c>
      <c r="M900" s="7">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IF(_xlfn.XLOOKUP(F901,customers!$B$1:$B$1001,customers!$C$1:$C$1001,,0)=0,"",_xlfn.XLOOKUP(F901,customers!$B$1:$B$1001,customers!$C$1:$C$1001,,0))</f>
        <v/>
      </c>
      <c r="H901" s="2" t="str">
        <f>_xlfn.XLOOKUP(C901,customers!$A$1:$A$1001,customers!$G$1:$G$1001,,0)</f>
        <v>United States</v>
      </c>
      <c r="I901" t="str">
        <f>_xlfn.XLOOKUP(D901,products!$A$1:$A$49,products!$B$1:$B$49,,0)</f>
        <v>Lib</v>
      </c>
      <c r="J901" t="str">
        <f>_xlfn.XLOOKUP(D901,products!$A$1:$A$49,products!$C$1:$C$49,,0)</f>
        <v>M</v>
      </c>
      <c r="K901" s="5">
        <f>_xlfn.XLOOKUP(D901,products!$A$1:$A$49,products!$D$1:$D$49,,0)</f>
        <v>1</v>
      </c>
      <c r="L901" s="7">
        <f>_xlfn.XLOOKUP(D901,products!$A$1:$A$49,products!$E$1:$E$49,,0)</f>
        <v>14.55</v>
      </c>
      <c r="M901" s="7">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IF(_xlfn.XLOOKUP(F902,customers!$B$1:$B$1001,customers!$C$1:$C$1001,,0)=0,"",_xlfn.XLOOKUP(F902,customers!$B$1:$B$1001,customers!$C$1:$C$1001,,0))</f>
        <v/>
      </c>
      <c r="H902" s="2" t="str">
        <f>_xlfn.XLOOKUP(C902,customers!$A$1:$A$1001,customers!$G$1:$G$1001,,0)</f>
        <v>Ireland</v>
      </c>
      <c r="I902" t="str">
        <f>_xlfn.XLOOKUP(D902,products!$A$1:$A$49,products!$B$1:$B$49,,0)</f>
        <v>Lib</v>
      </c>
      <c r="J902" t="str">
        <f>_xlfn.XLOOKUP(D902,products!$A$1:$A$49,products!$C$1:$C$49,,0)</f>
        <v>L</v>
      </c>
      <c r="K902" s="5">
        <f>_xlfn.XLOOKUP(D902,products!$A$1:$A$49,products!$D$1:$D$49,,0)</f>
        <v>1</v>
      </c>
      <c r="L902" s="7">
        <f>_xlfn.XLOOKUP(D902,products!$A$1:$A$49,products!$E$1:$E$49,,0)</f>
        <v>15.85</v>
      </c>
      <c r="M902" s="7">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IF(_xlfn.XLOOKUP(F903,customers!$B$1:$B$1001,customers!$C$1:$C$1001,,0)=0,"",_xlfn.XLOOKUP(F903,customers!$B$1:$B$1001,customers!$C$1:$C$1001,,0))</f>
        <v>djevonp1@ibm.com</v>
      </c>
      <c r="H903" s="2" t="str">
        <f>_xlfn.XLOOKUP(C903,customers!$A$1:$A$1001,customers!$G$1:$G$1001,,0)</f>
        <v>United States</v>
      </c>
      <c r="I903" t="str">
        <f>_xlfn.XLOOKUP(D903,products!$A$1:$A$49,products!$B$1:$B$49,,0)</f>
        <v>Rob</v>
      </c>
      <c r="J903" t="str">
        <f>_xlfn.XLOOKUP(D903,products!$A$1:$A$49,products!$C$1:$C$49,,0)</f>
        <v>L</v>
      </c>
      <c r="K903" s="5">
        <f>_xlfn.XLOOKUP(D903,products!$A$1:$A$49,products!$D$1:$D$49,,0)</f>
        <v>0.2</v>
      </c>
      <c r="L903" s="7">
        <f>_xlfn.XLOOKUP(D903,products!$A$1:$A$49,products!$E$1:$E$49,,0)</f>
        <v>3.5849999999999995</v>
      </c>
      <c r="M903" s="7">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IF(_xlfn.XLOOKUP(F904,customers!$B$1:$B$1001,customers!$C$1:$C$1001,,0)=0,"",_xlfn.XLOOKUP(F904,customers!$B$1:$B$1001,customers!$C$1:$C$1001,,0))</f>
        <v>hrannerp2@omniture.com</v>
      </c>
      <c r="H904" s="2" t="str">
        <f>_xlfn.XLOOKUP(C904,customers!$A$1:$A$1001,customers!$G$1:$G$1001,,0)</f>
        <v>United States</v>
      </c>
      <c r="I904" t="str">
        <f>_xlfn.XLOOKUP(D904,products!$A$1:$A$49,products!$B$1:$B$49,,0)</f>
        <v>Exc</v>
      </c>
      <c r="J904" t="str">
        <f>_xlfn.XLOOKUP(D904,products!$A$1:$A$49,products!$C$1:$C$49,,0)</f>
        <v>M</v>
      </c>
      <c r="K904" s="5">
        <f>_xlfn.XLOOKUP(D904,products!$A$1:$A$49,products!$D$1:$D$49,,0)</f>
        <v>2.5</v>
      </c>
      <c r="L904" s="7">
        <f>_xlfn.XLOOKUP(D904,products!$A$1:$A$49,products!$E$1:$E$49,,0)</f>
        <v>31.624999999999996</v>
      </c>
      <c r="M904" s="7">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IF(_xlfn.XLOOKUP(F905,customers!$B$1:$B$1001,customers!$C$1:$C$1001,,0)=0,"",_xlfn.XLOOKUP(F905,customers!$B$1:$B$1001,customers!$C$1:$C$1001,,0))</f>
        <v>bimriep3@addtoany.com</v>
      </c>
      <c r="H905" s="2" t="str">
        <f>_xlfn.XLOOKUP(C905,customers!$A$1:$A$1001,customers!$G$1:$G$1001,,0)</f>
        <v>United States</v>
      </c>
      <c r="I905" t="str">
        <f>_xlfn.XLOOKUP(D905,products!$A$1:$A$49,products!$B$1:$B$49,,0)</f>
        <v>Lib</v>
      </c>
      <c r="J905" t="str">
        <f>_xlfn.XLOOKUP(D905,products!$A$1:$A$49,products!$C$1:$C$49,,0)</f>
        <v>M</v>
      </c>
      <c r="K905" s="5">
        <f>_xlfn.XLOOKUP(D905,products!$A$1:$A$49,products!$D$1:$D$49,,0)</f>
        <v>0.5</v>
      </c>
      <c r="L905" s="7">
        <f>_xlfn.XLOOKUP(D905,products!$A$1:$A$49,products!$E$1:$E$49,,0)</f>
        <v>8.73</v>
      </c>
      <c r="M905" s="7">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IF(_xlfn.XLOOKUP(F906,customers!$B$1:$B$1001,customers!$C$1:$C$1001,,0)=0,"",_xlfn.XLOOKUP(F906,customers!$B$1:$B$1001,customers!$C$1:$C$1001,,0))</f>
        <v>dsopperp4@eventbrite.com</v>
      </c>
      <c r="H906" s="2" t="str">
        <f>_xlfn.XLOOKUP(C906,customers!$A$1:$A$1001,customers!$G$1:$G$1001,,0)</f>
        <v>United States</v>
      </c>
      <c r="I906" t="str">
        <f>_xlfn.XLOOKUP(D906,products!$A$1:$A$49,products!$B$1:$B$49,,0)</f>
        <v>Ara</v>
      </c>
      <c r="J906" t="str">
        <f>_xlfn.XLOOKUP(D906,products!$A$1:$A$49,products!$C$1:$C$49,,0)</f>
        <v>L</v>
      </c>
      <c r="K906" s="5">
        <f>_xlfn.XLOOKUP(D906,products!$A$1:$A$49,products!$D$1:$D$49,,0)</f>
        <v>2.5</v>
      </c>
      <c r="L906" s="7">
        <f>_xlfn.XLOOKUP(D906,products!$A$1:$A$49,products!$E$1:$E$49,,0)</f>
        <v>29.784999999999997</v>
      </c>
      <c r="M906" s="7">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IF(_xlfn.XLOOKUP(F907,customers!$B$1:$B$1001,customers!$C$1:$C$1001,,0)=0,"",_xlfn.XLOOKUP(F907,customers!$B$1:$B$1001,customers!$C$1:$C$1001,,0))</f>
        <v/>
      </c>
      <c r="H907" s="2" t="str">
        <f>_xlfn.XLOOKUP(C907,customers!$A$1:$A$1001,customers!$G$1:$G$1001,,0)</f>
        <v>United States</v>
      </c>
      <c r="I907" t="str">
        <f>_xlfn.XLOOKUP(D907,products!$A$1:$A$49,products!$B$1:$B$49,,0)</f>
        <v>Ara</v>
      </c>
      <c r="J907" t="str">
        <f>_xlfn.XLOOKUP(D907,products!$A$1:$A$49,products!$C$1:$C$49,,0)</f>
        <v>M</v>
      </c>
      <c r="K907" s="5">
        <f>_xlfn.XLOOKUP(D907,products!$A$1:$A$49,products!$D$1:$D$49,,0)</f>
        <v>0.5</v>
      </c>
      <c r="L907" s="7">
        <f>_xlfn.XLOOKUP(D907,products!$A$1:$A$49,products!$E$1:$E$49,,0)</f>
        <v>6.75</v>
      </c>
      <c r="M907" s="7">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IF(_xlfn.XLOOKUP(F908,customers!$B$1:$B$1001,customers!$C$1:$C$1001,,0)=0,"",_xlfn.XLOOKUP(F908,customers!$B$1:$B$1001,customers!$C$1:$C$1001,,0))</f>
        <v>lledgleyp6@de.vu</v>
      </c>
      <c r="H908" s="2" t="str">
        <f>_xlfn.XLOOKUP(C908,customers!$A$1:$A$1001,customers!$G$1:$G$1001,,0)</f>
        <v>United States</v>
      </c>
      <c r="I908" t="str">
        <f>_xlfn.XLOOKUP(D908,products!$A$1:$A$49,products!$B$1:$B$49,,0)</f>
        <v>Ara</v>
      </c>
      <c r="J908" t="str">
        <f>_xlfn.XLOOKUP(D908,products!$A$1:$A$49,products!$C$1:$C$49,,0)</f>
        <v>M</v>
      </c>
      <c r="K908" s="5">
        <f>_xlfn.XLOOKUP(D908,products!$A$1:$A$49,products!$D$1:$D$49,,0)</f>
        <v>0.5</v>
      </c>
      <c r="L908" s="7">
        <f>_xlfn.XLOOKUP(D908,products!$A$1:$A$49,products!$E$1:$E$49,,0)</f>
        <v>6.75</v>
      </c>
      <c r="M908" s="7">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IF(_xlfn.XLOOKUP(F909,customers!$B$1:$B$1001,customers!$C$1:$C$1001,,0)=0,"",_xlfn.XLOOKUP(F909,customers!$B$1:$B$1001,customers!$C$1:$C$1001,,0))</f>
        <v>tmenaryp7@phoca.cz</v>
      </c>
      <c r="H909" s="2" t="str">
        <f>_xlfn.XLOOKUP(C909,customers!$A$1:$A$1001,customers!$G$1:$G$1001,,0)</f>
        <v>United States</v>
      </c>
      <c r="I909" t="str">
        <f>_xlfn.XLOOKUP(D909,products!$A$1:$A$49,products!$B$1:$B$49,,0)</f>
        <v>Lib</v>
      </c>
      <c r="J909" t="str">
        <f>_xlfn.XLOOKUP(D909,products!$A$1:$A$49,products!$C$1:$C$49,,0)</f>
        <v>D</v>
      </c>
      <c r="K909" s="5">
        <f>_xlfn.XLOOKUP(D909,products!$A$1:$A$49,products!$D$1:$D$49,,0)</f>
        <v>1</v>
      </c>
      <c r="L909" s="7">
        <f>_xlfn.XLOOKUP(D909,products!$A$1:$A$49,products!$E$1:$E$49,,0)</f>
        <v>12.95</v>
      </c>
      <c r="M909" s="7">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IF(_xlfn.XLOOKUP(F910,customers!$B$1:$B$1001,customers!$C$1:$C$1001,,0)=0,"",_xlfn.XLOOKUP(F910,customers!$B$1:$B$1001,customers!$C$1:$C$1001,,0))</f>
        <v>gciccottip8@so-net.ne.jp</v>
      </c>
      <c r="H910" s="2" t="str">
        <f>_xlfn.XLOOKUP(C910,customers!$A$1:$A$1001,customers!$G$1:$G$1001,,0)</f>
        <v>United States</v>
      </c>
      <c r="I910" t="str">
        <f>_xlfn.XLOOKUP(D910,products!$A$1:$A$49,products!$B$1:$B$49,,0)</f>
        <v>Rob</v>
      </c>
      <c r="J910" t="str">
        <f>_xlfn.XLOOKUP(D910,products!$A$1:$A$49,products!$C$1:$C$49,,0)</f>
        <v>L</v>
      </c>
      <c r="K910" s="5">
        <f>_xlfn.XLOOKUP(D910,products!$A$1:$A$49,products!$D$1:$D$49,,0)</f>
        <v>1</v>
      </c>
      <c r="L910" s="7">
        <f>_xlfn.XLOOKUP(D910,products!$A$1:$A$49,products!$E$1:$E$49,,0)</f>
        <v>11.95</v>
      </c>
      <c r="M910" s="7">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IF(_xlfn.XLOOKUP(F911,customers!$B$1:$B$1001,customers!$C$1:$C$1001,,0)=0,"",_xlfn.XLOOKUP(F911,customers!$B$1:$B$1001,customers!$C$1:$C$1001,,0))</f>
        <v/>
      </c>
      <c r="H911" s="2" t="str">
        <f>_xlfn.XLOOKUP(C911,customers!$A$1:$A$1001,customers!$G$1:$G$1001,,0)</f>
        <v>United States</v>
      </c>
      <c r="I911" t="str">
        <f>_xlfn.XLOOKUP(D911,products!$A$1:$A$49,products!$B$1:$B$49,,0)</f>
        <v>Rob</v>
      </c>
      <c r="J911" t="str">
        <f>_xlfn.XLOOKUP(D911,products!$A$1:$A$49,products!$C$1:$C$49,,0)</f>
        <v>L</v>
      </c>
      <c r="K911" s="5">
        <f>_xlfn.XLOOKUP(D911,products!$A$1:$A$49,products!$D$1:$D$49,,0)</f>
        <v>0.2</v>
      </c>
      <c r="L911" s="7">
        <f>_xlfn.XLOOKUP(D911,products!$A$1:$A$49,products!$E$1:$E$49,,0)</f>
        <v>3.5849999999999995</v>
      </c>
      <c r="M911" s="7">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IF(_xlfn.XLOOKUP(F912,customers!$B$1:$B$1001,customers!$C$1:$C$1001,,0)=0,"",_xlfn.XLOOKUP(F912,customers!$B$1:$B$1001,customers!$C$1:$C$1001,,0))</f>
        <v>wjallinpa@pcworld.com</v>
      </c>
      <c r="H912" s="2" t="str">
        <f>_xlfn.XLOOKUP(C912,customers!$A$1:$A$1001,customers!$G$1:$G$1001,,0)</f>
        <v>United States</v>
      </c>
      <c r="I912" t="str">
        <f>_xlfn.XLOOKUP(D912,products!$A$1:$A$49,products!$B$1:$B$49,,0)</f>
        <v>Ara</v>
      </c>
      <c r="J912" t="str">
        <f>_xlfn.XLOOKUP(D912,products!$A$1:$A$49,products!$C$1:$C$49,,0)</f>
        <v>D</v>
      </c>
      <c r="K912" s="5">
        <f>_xlfn.XLOOKUP(D912,products!$A$1:$A$49,products!$D$1:$D$49,,0)</f>
        <v>2.5</v>
      </c>
      <c r="L912" s="7">
        <f>_xlfn.XLOOKUP(D912,products!$A$1:$A$49,products!$E$1:$E$49,,0)</f>
        <v>22.884999999999998</v>
      </c>
      <c r="M912" s="7">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IF(_xlfn.XLOOKUP(F913,customers!$B$1:$B$1001,customers!$C$1:$C$1001,,0)=0,"",_xlfn.XLOOKUP(F913,customers!$B$1:$B$1001,customers!$C$1:$C$1001,,0))</f>
        <v>mbogeypb@thetimes.co.uk</v>
      </c>
      <c r="H913" s="2" t="str">
        <f>_xlfn.XLOOKUP(C913,customers!$A$1:$A$1001,customers!$G$1:$G$1001,,0)</f>
        <v>United States</v>
      </c>
      <c r="I913" t="str">
        <f>_xlfn.XLOOKUP(D913,products!$A$1:$A$49,products!$B$1:$B$49,,0)</f>
        <v>Ara</v>
      </c>
      <c r="J913" t="str">
        <f>_xlfn.XLOOKUP(D913,products!$A$1:$A$49,products!$C$1:$C$49,,0)</f>
        <v>M</v>
      </c>
      <c r="K913" s="5">
        <f>_xlfn.XLOOKUP(D913,products!$A$1:$A$49,products!$D$1:$D$49,,0)</f>
        <v>1</v>
      </c>
      <c r="L913" s="7">
        <f>_xlfn.XLOOKUP(D913,products!$A$1:$A$49,products!$E$1:$E$49,,0)</f>
        <v>11.25</v>
      </c>
      <c r="M913" s="7">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IF(_xlfn.XLOOKUP(F914,customers!$B$1:$B$1001,customers!$C$1:$C$1001,,0)=0,"",_xlfn.XLOOKUP(F914,customers!$B$1:$B$1001,customers!$C$1:$C$1001,,0))</f>
        <v/>
      </c>
      <c r="H914" s="2" t="str">
        <f>_xlfn.XLOOKUP(C914,customers!$A$1:$A$1001,customers!$G$1:$G$1001,,0)</f>
        <v>United States</v>
      </c>
      <c r="I914" t="str">
        <f>_xlfn.XLOOKUP(D914,products!$A$1:$A$49,products!$B$1:$B$49,,0)</f>
        <v>Rob</v>
      </c>
      <c r="J914" t="str">
        <f>_xlfn.XLOOKUP(D914,products!$A$1:$A$49,products!$C$1:$C$49,,0)</f>
        <v>M</v>
      </c>
      <c r="K914" s="5">
        <f>_xlfn.XLOOKUP(D914,products!$A$1:$A$49,products!$D$1:$D$49,,0)</f>
        <v>2.5</v>
      </c>
      <c r="L914" s="7">
        <f>_xlfn.XLOOKUP(D914,products!$A$1:$A$49,products!$E$1:$E$49,,0)</f>
        <v>22.884999999999998</v>
      </c>
      <c r="M914" s="7">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IF(_xlfn.XLOOKUP(F915,customers!$B$1:$B$1001,customers!$C$1:$C$1001,,0)=0,"",_xlfn.XLOOKUP(F915,customers!$B$1:$B$1001,customers!$C$1:$C$1001,,0))</f>
        <v>mcobbledickpd@ucsd.edu</v>
      </c>
      <c r="H915" s="2" t="str">
        <f>_xlfn.XLOOKUP(C915,customers!$A$1:$A$1001,customers!$G$1:$G$1001,,0)</f>
        <v>United States</v>
      </c>
      <c r="I915" t="str">
        <f>_xlfn.XLOOKUP(D915,products!$A$1:$A$49,products!$B$1:$B$49,,0)</f>
        <v>Ara</v>
      </c>
      <c r="J915" t="str">
        <f>_xlfn.XLOOKUP(D915,products!$A$1:$A$49,products!$C$1:$C$49,,0)</f>
        <v>M</v>
      </c>
      <c r="K915" s="5">
        <f>_xlfn.XLOOKUP(D915,products!$A$1:$A$49,products!$D$1:$D$49,,0)</f>
        <v>0.5</v>
      </c>
      <c r="L915" s="7">
        <f>_xlfn.XLOOKUP(D915,products!$A$1:$A$49,products!$E$1:$E$49,,0)</f>
        <v>6.75</v>
      </c>
      <c r="M915" s="7">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IF(_xlfn.XLOOKUP(F916,customers!$B$1:$B$1001,customers!$C$1:$C$1001,,0)=0,"",_xlfn.XLOOKUP(F916,customers!$B$1:$B$1001,customers!$C$1:$C$1001,,0))</f>
        <v>alewrype@whitehouse.gov</v>
      </c>
      <c r="H916" s="2" t="str">
        <f>_xlfn.XLOOKUP(C916,customers!$A$1:$A$1001,customers!$G$1:$G$1001,,0)</f>
        <v>United States</v>
      </c>
      <c r="I916" t="str">
        <f>_xlfn.XLOOKUP(D916,products!$A$1:$A$49,products!$B$1:$B$49,,0)</f>
        <v>Ara</v>
      </c>
      <c r="J916" t="str">
        <f>_xlfn.XLOOKUP(D916,products!$A$1:$A$49,products!$C$1:$C$49,,0)</f>
        <v>M</v>
      </c>
      <c r="K916" s="5">
        <f>_xlfn.XLOOKUP(D916,products!$A$1:$A$49,products!$D$1:$D$49,,0)</f>
        <v>1</v>
      </c>
      <c r="L916" s="7">
        <f>_xlfn.XLOOKUP(D916,products!$A$1:$A$49,products!$E$1:$E$49,,0)</f>
        <v>11.25</v>
      </c>
      <c r="M916" s="7">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IF(_xlfn.XLOOKUP(F917,customers!$B$1:$B$1001,customers!$C$1:$C$1001,,0)=0,"",_xlfn.XLOOKUP(F917,customers!$B$1:$B$1001,customers!$C$1:$C$1001,,0))</f>
        <v>ihesselpf@ox.ac.uk</v>
      </c>
      <c r="H917" s="2" t="str">
        <f>_xlfn.XLOOKUP(C917,customers!$A$1:$A$1001,customers!$G$1:$G$1001,,0)</f>
        <v>United States</v>
      </c>
      <c r="I917" t="str">
        <f>_xlfn.XLOOKUP(D917,products!$A$1:$A$49,products!$B$1:$B$49,,0)</f>
        <v>Exc</v>
      </c>
      <c r="J917" t="str">
        <f>_xlfn.XLOOKUP(D917,products!$A$1:$A$49,products!$C$1:$C$49,,0)</f>
        <v>D</v>
      </c>
      <c r="K917" s="5">
        <f>_xlfn.XLOOKUP(D917,products!$A$1:$A$49,products!$D$1:$D$49,,0)</f>
        <v>2.5</v>
      </c>
      <c r="L917" s="7">
        <f>_xlfn.XLOOKUP(D917,products!$A$1:$A$49,products!$E$1:$E$49,,0)</f>
        <v>27.945</v>
      </c>
      <c r="M917" s="7">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IF(_xlfn.XLOOKUP(F918,customers!$B$1:$B$1001,customers!$C$1:$C$1001,,0)=0,"",_xlfn.XLOOKUP(F918,customers!$B$1:$B$1001,customers!$C$1:$C$1001,,0))</f>
        <v/>
      </c>
      <c r="H918" s="2" t="str">
        <f>_xlfn.XLOOKUP(C918,customers!$A$1:$A$1001,customers!$G$1:$G$1001,,0)</f>
        <v>Ireland</v>
      </c>
      <c r="I918" t="str">
        <f>_xlfn.XLOOKUP(D918,products!$A$1:$A$49,products!$B$1:$B$49,,0)</f>
        <v>Exc</v>
      </c>
      <c r="J918" t="str">
        <f>_xlfn.XLOOKUP(D918,products!$A$1:$A$49,products!$C$1:$C$49,,0)</f>
        <v>D</v>
      </c>
      <c r="K918" s="5">
        <f>_xlfn.XLOOKUP(D918,products!$A$1:$A$49,products!$D$1:$D$49,,0)</f>
        <v>0.2</v>
      </c>
      <c r="L918" s="7">
        <f>_xlfn.XLOOKUP(D918,products!$A$1:$A$49,products!$E$1:$E$49,,0)</f>
        <v>3.645</v>
      </c>
      <c r="M918" s="7">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IF(_xlfn.XLOOKUP(F919,customers!$B$1:$B$1001,customers!$C$1:$C$1001,,0)=0,"",_xlfn.XLOOKUP(F919,customers!$B$1:$B$1001,customers!$C$1:$C$1001,,0))</f>
        <v>csorrellph@amazon.com</v>
      </c>
      <c r="H919" s="2" t="str">
        <f>_xlfn.XLOOKUP(C919,customers!$A$1:$A$1001,customers!$G$1:$G$1001,,0)</f>
        <v>United Kingdom</v>
      </c>
      <c r="I919" t="str">
        <f>_xlfn.XLOOKUP(D919,products!$A$1:$A$49,products!$B$1:$B$49,,0)</f>
        <v>Ara</v>
      </c>
      <c r="J919" t="str">
        <f>_xlfn.XLOOKUP(D919,products!$A$1:$A$49,products!$C$1:$C$49,,0)</f>
        <v>M</v>
      </c>
      <c r="K919" s="5">
        <f>_xlfn.XLOOKUP(D919,products!$A$1:$A$49,products!$D$1:$D$49,,0)</f>
        <v>0.5</v>
      </c>
      <c r="L919" s="7">
        <f>_xlfn.XLOOKUP(D919,products!$A$1:$A$49,products!$E$1:$E$49,,0)</f>
        <v>6.75</v>
      </c>
      <c r="M919" s="7">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IF(_xlfn.XLOOKUP(F920,customers!$B$1:$B$1001,customers!$C$1:$C$1001,,0)=0,"",_xlfn.XLOOKUP(F920,customers!$B$1:$B$1001,customers!$C$1:$C$1001,,0))</f>
        <v>csorrellph@amazon.com</v>
      </c>
      <c r="H920" s="2" t="str">
        <f>_xlfn.XLOOKUP(C920,customers!$A$1:$A$1001,customers!$G$1:$G$1001,,0)</f>
        <v>United Kingdom</v>
      </c>
      <c r="I920" t="str">
        <f>_xlfn.XLOOKUP(D920,products!$A$1:$A$49,products!$B$1:$B$49,,0)</f>
        <v>Exc</v>
      </c>
      <c r="J920" t="str">
        <f>_xlfn.XLOOKUP(D920,products!$A$1:$A$49,products!$C$1:$C$49,,0)</f>
        <v>D</v>
      </c>
      <c r="K920" s="5">
        <f>_xlfn.XLOOKUP(D920,products!$A$1:$A$49,products!$D$1:$D$49,,0)</f>
        <v>0.5</v>
      </c>
      <c r="L920" s="7">
        <f>_xlfn.XLOOKUP(D920,products!$A$1:$A$49,products!$E$1:$E$49,,0)</f>
        <v>7.29</v>
      </c>
      <c r="M920" s="7">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IF(_xlfn.XLOOKUP(F921,customers!$B$1:$B$1001,customers!$C$1:$C$1001,,0)=0,"",_xlfn.XLOOKUP(F921,customers!$B$1:$B$1001,customers!$C$1:$C$1001,,0))</f>
        <v>qheavysidepj@unc.edu</v>
      </c>
      <c r="H921" s="2" t="str">
        <f>_xlfn.XLOOKUP(C921,customers!$A$1:$A$1001,customers!$G$1:$G$1001,,0)</f>
        <v>United States</v>
      </c>
      <c r="I921" t="str">
        <f>_xlfn.XLOOKUP(D921,products!$A$1:$A$49,products!$B$1:$B$49,,0)</f>
        <v>Rob</v>
      </c>
      <c r="J921" t="str">
        <f>_xlfn.XLOOKUP(D921,products!$A$1:$A$49,products!$C$1:$C$49,,0)</f>
        <v>D</v>
      </c>
      <c r="K921" s="5">
        <f>_xlfn.XLOOKUP(D921,products!$A$1:$A$49,products!$D$1:$D$49,,0)</f>
        <v>0.2</v>
      </c>
      <c r="L921" s="7">
        <f>_xlfn.XLOOKUP(D921,products!$A$1:$A$49,products!$E$1:$E$49,,0)</f>
        <v>2.6849999999999996</v>
      </c>
      <c r="M921" s="7">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IF(_xlfn.XLOOKUP(F922,customers!$B$1:$B$1001,customers!$C$1:$C$1001,,0)=0,"",_xlfn.XLOOKUP(F922,customers!$B$1:$B$1001,customers!$C$1:$C$1001,,0))</f>
        <v>hreuvenpk@whitehouse.gov</v>
      </c>
      <c r="H922" s="2" t="str">
        <f>_xlfn.XLOOKUP(C922,customers!$A$1:$A$1001,customers!$G$1:$G$1001,,0)</f>
        <v>United States</v>
      </c>
      <c r="I922" t="str">
        <f>_xlfn.XLOOKUP(D922,products!$A$1:$A$49,products!$B$1:$B$49,,0)</f>
        <v>Rob</v>
      </c>
      <c r="J922" t="str">
        <f>_xlfn.XLOOKUP(D922,products!$A$1:$A$49,products!$C$1:$C$49,,0)</f>
        <v>D</v>
      </c>
      <c r="K922" s="5">
        <f>_xlfn.XLOOKUP(D922,products!$A$1:$A$49,products!$D$1:$D$49,,0)</f>
        <v>2.5</v>
      </c>
      <c r="L922" s="7">
        <f>_xlfn.XLOOKUP(D922,products!$A$1:$A$49,products!$E$1:$E$49,,0)</f>
        <v>20.584999999999997</v>
      </c>
      <c r="M922" s="7">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IF(_xlfn.XLOOKUP(F923,customers!$B$1:$B$1001,customers!$C$1:$C$1001,,0)=0,"",_xlfn.XLOOKUP(F923,customers!$B$1:$B$1001,customers!$C$1:$C$1001,,0))</f>
        <v>mattwoolpl@nba.com</v>
      </c>
      <c r="H923" s="2" t="str">
        <f>_xlfn.XLOOKUP(C923,customers!$A$1:$A$1001,customers!$G$1:$G$1001,,0)</f>
        <v>United States</v>
      </c>
      <c r="I923" t="str">
        <f>_xlfn.XLOOKUP(D923,products!$A$1:$A$49,products!$B$1:$B$49,,0)</f>
        <v>Lib</v>
      </c>
      <c r="J923" t="str">
        <f>_xlfn.XLOOKUP(D923,products!$A$1:$A$49,products!$C$1:$C$49,,0)</f>
        <v>D</v>
      </c>
      <c r="K923" s="5">
        <f>_xlfn.XLOOKUP(D923,products!$A$1:$A$49,products!$D$1:$D$49,,0)</f>
        <v>0.2</v>
      </c>
      <c r="L923" s="7">
        <f>_xlfn.XLOOKUP(D923,products!$A$1:$A$49,products!$E$1:$E$49,,0)</f>
        <v>3.8849999999999998</v>
      </c>
      <c r="M923" s="7">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IF(_xlfn.XLOOKUP(F924,customers!$B$1:$B$1001,customers!$C$1:$C$1001,,0)=0,"",_xlfn.XLOOKUP(F924,customers!$B$1:$B$1001,customers!$C$1:$C$1001,,0))</f>
        <v/>
      </c>
      <c r="H924" s="2" t="str">
        <f>_xlfn.XLOOKUP(C924,customers!$A$1:$A$1001,customers!$G$1:$G$1001,,0)</f>
        <v>United States</v>
      </c>
      <c r="I924" t="str">
        <f>_xlfn.XLOOKUP(D924,products!$A$1:$A$49,products!$B$1:$B$49,,0)</f>
        <v>Ara</v>
      </c>
      <c r="J924" t="str">
        <f>_xlfn.XLOOKUP(D924,products!$A$1:$A$49,products!$C$1:$C$49,,0)</f>
        <v>M</v>
      </c>
      <c r="K924" s="5">
        <f>_xlfn.XLOOKUP(D924,products!$A$1:$A$49,products!$D$1:$D$49,,0)</f>
        <v>1</v>
      </c>
      <c r="L924" s="7">
        <f>_xlfn.XLOOKUP(D924,products!$A$1:$A$49,products!$E$1:$E$49,,0)</f>
        <v>11.25</v>
      </c>
      <c r="M924" s="7">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IF(_xlfn.XLOOKUP(F925,customers!$B$1:$B$1001,customers!$C$1:$C$1001,,0)=0,"",_xlfn.XLOOKUP(F925,customers!$B$1:$B$1001,customers!$C$1:$C$1001,,0))</f>
        <v>gwynespn@dagondesign.com</v>
      </c>
      <c r="H925" s="2" t="str">
        <f>_xlfn.XLOOKUP(C925,customers!$A$1:$A$1001,customers!$G$1:$G$1001,,0)</f>
        <v>United States</v>
      </c>
      <c r="I925" t="str">
        <f>_xlfn.XLOOKUP(D925,products!$A$1:$A$49,products!$B$1:$B$49,,0)</f>
        <v>Exc</v>
      </c>
      <c r="J925" t="str">
        <f>_xlfn.XLOOKUP(D925,products!$A$1:$A$49,products!$C$1:$C$49,,0)</f>
        <v>D</v>
      </c>
      <c r="K925" s="5">
        <f>_xlfn.XLOOKUP(D925,products!$A$1:$A$49,products!$D$1:$D$49,,0)</f>
        <v>2.5</v>
      </c>
      <c r="L925" s="7">
        <f>_xlfn.XLOOKUP(D925,products!$A$1:$A$49,products!$E$1:$E$49,,0)</f>
        <v>27.945</v>
      </c>
      <c r="M925" s="7">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IF(_xlfn.XLOOKUP(F926,customers!$B$1:$B$1001,customers!$C$1:$C$1001,,0)=0,"",_xlfn.XLOOKUP(F926,customers!$B$1:$B$1001,customers!$C$1:$C$1001,,0))</f>
        <v>cmaccourtpo@amazon.com</v>
      </c>
      <c r="H926" s="2" t="str">
        <f>_xlfn.XLOOKUP(C926,customers!$A$1:$A$1001,customers!$G$1:$G$1001,,0)</f>
        <v>United States</v>
      </c>
      <c r="I926" t="str">
        <f>_xlfn.XLOOKUP(D926,products!$A$1:$A$49,products!$B$1:$B$49,,0)</f>
        <v>Ara</v>
      </c>
      <c r="J926" t="str">
        <f>_xlfn.XLOOKUP(D926,products!$A$1:$A$49,products!$C$1:$C$49,,0)</f>
        <v>L</v>
      </c>
      <c r="K926" s="5">
        <f>_xlfn.XLOOKUP(D926,products!$A$1:$A$49,products!$D$1:$D$49,,0)</f>
        <v>2.5</v>
      </c>
      <c r="L926" s="7">
        <f>_xlfn.XLOOKUP(D926,products!$A$1:$A$49,products!$E$1:$E$49,,0)</f>
        <v>29.784999999999997</v>
      </c>
      <c r="M926" s="7">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IF(_xlfn.XLOOKUP(F927,customers!$B$1:$B$1001,customers!$C$1:$C$1001,,0)=0,"",_xlfn.XLOOKUP(F927,customers!$B$1:$B$1001,customers!$C$1:$C$1001,,0))</f>
        <v/>
      </c>
      <c r="H927" s="2" t="str">
        <f>_xlfn.XLOOKUP(C927,customers!$A$1:$A$1001,customers!$G$1:$G$1001,,0)</f>
        <v>United States</v>
      </c>
      <c r="I927" t="str">
        <f>_xlfn.XLOOKUP(D927,products!$A$1:$A$49,products!$B$1:$B$49,,0)</f>
        <v>Ara</v>
      </c>
      <c r="J927" t="str">
        <f>_xlfn.XLOOKUP(D927,products!$A$1:$A$49,products!$C$1:$C$49,,0)</f>
        <v>M</v>
      </c>
      <c r="K927" s="5">
        <f>_xlfn.XLOOKUP(D927,products!$A$1:$A$49,products!$D$1:$D$49,,0)</f>
        <v>0.5</v>
      </c>
      <c r="L927" s="7">
        <f>_xlfn.XLOOKUP(D927,products!$A$1:$A$49,products!$E$1:$E$49,,0)</f>
        <v>6.75</v>
      </c>
      <c r="M927" s="7">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IF(_xlfn.XLOOKUP(F928,customers!$B$1:$B$1001,customers!$C$1:$C$1001,,0)=0,"",_xlfn.XLOOKUP(F928,customers!$B$1:$B$1001,customers!$C$1:$C$1001,,0))</f>
        <v>ewilsonepq@eepurl.com</v>
      </c>
      <c r="H928" s="2" t="str">
        <f>_xlfn.XLOOKUP(C928,customers!$A$1:$A$1001,customers!$G$1:$G$1001,,0)</f>
        <v>United States</v>
      </c>
      <c r="I928" t="str">
        <f>_xlfn.XLOOKUP(D928,products!$A$1:$A$49,products!$B$1:$B$49,,0)</f>
        <v>Ara</v>
      </c>
      <c r="J928" t="str">
        <f>_xlfn.XLOOKUP(D928,products!$A$1:$A$49,products!$C$1:$C$49,,0)</f>
        <v>M</v>
      </c>
      <c r="K928" s="5">
        <f>_xlfn.XLOOKUP(D928,products!$A$1:$A$49,products!$D$1:$D$49,,0)</f>
        <v>0.5</v>
      </c>
      <c r="L928" s="7">
        <f>_xlfn.XLOOKUP(D928,products!$A$1:$A$49,products!$E$1:$E$49,,0)</f>
        <v>6.75</v>
      </c>
      <c r="M928" s="7">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IF(_xlfn.XLOOKUP(F929,customers!$B$1:$B$1001,customers!$C$1:$C$1001,,0)=0,"",_xlfn.XLOOKUP(F929,customers!$B$1:$B$1001,customers!$C$1:$C$1001,,0))</f>
        <v>dduffiepr@time.com</v>
      </c>
      <c r="H929" s="2" t="str">
        <f>_xlfn.XLOOKUP(C929,customers!$A$1:$A$1001,customers!$G$1:$G$1001,,0)</f>
        <v>United States</v>
      </c>
      <c r="I929" t="str">
        <f>_xlfn.XLOOKUP(D929,products!$A$1:$A$49,products!$B$1:$B$49,,0)</f>
        <v>Exc</v>
      </c>
      <c r="J929" t="str">
        <f>_xlfn.XLOOKUP(D929,products!$A$1:$A$49,products!$C$1:$C$49,,0)</f>
        <v>D</v>
      </c>
      <c r="K929" s="5">
        <f>_xlfn.XLOOKUP(D929,products!$A$1:$A$49,products!$D$1:$D$49,,0)</f>
        <v>2.5</v>
      </c>
      <c r="L929" s="7">
        <f>_xlfn.XLOOKUP(D929,products!$A$1:$A$49,products!$E$1:$E$49,,0)</f>
        <v>27.945</v>
      </c>
      <c r="M929" s="7">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IF(_xlfn.XLOOKUP(F930,customers!$B$1:$B$1001,customers!$C$1:$C$1001,,0)=0,"",_xlfn.XLOOKUP(F930,customers!$B$1:$B$1001,customers!$C$1:$C$1001,,0))</f>
        <v>mmatiasekps@ucoz.ru</v>
      </c>
      <c r="H930" s="2" t="str">
        <f>_xlfn.XLOOKUP(C930,customers!$A$1:$A$1001,customers!$G$1:$G$1001,,0)</f>
        <v>United States</v>
      </c>
      <c r="I930" t="str">
        <f>_xlfn.XLOOKUP(D930,products!$A$1:$A$49,products!$B$1:$B$49,,0)</f>
        <v>Exc</v>
      </c>
      <c r="J930" t="str">
        <f>_xlfn.XLOOKUP(D930,products!$A$1:$A$49,products!$C$1:$C$49,,0)</f>
        <v>M</v>
      </c>
      <c r="K930" s="5">
        <f>_xlfn.XLOOKUP(D930,products!$A$1:$A$49,products!$D$1:$D$49,,0)</f>
        <v>2.5</v>
      </c>
      <c r="L930" s="7">
        <f>_xlfn.XLOOKUP(D930,products!$A$1:$A$49,products!$E$1:$E$49,,0)</f>
        <v>31.624999999999996</v>
      </c>
      <c r="M930" s="7">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IF(_xlfn.XLOOKUP(F931,customers!$B$1:$B$1001,customers!$C$1:$C$1001,,0)=0,"",_xlfn.XLOOKUP(F931,customers!$B$1:$B$1001,customers!$C$1:$C$1001,,0))</f>
        <v>jcamillopt@shinystat.com</v>
      </c>
      <c r="H931" s="2" t="str">
        <f>_xlfn.XLOOKUP(C931,customers!$A$1:$A$1001,customers!$G$1:$G$1001,,0)</f>
        <v>United States</v>
      </c>
      <c r="I931" t="str">
        <f>_xlfn.XLOOKUP(D931,products!$A$1:$A$49,products!$B$1:$B$49,,0)</f>
        <v>Exc</v>
      </c>
      <c r="J931" t="str">
        <f>_xlfn.XLOOKUP(D931,products!$A$1:$A$49,products!$C$1:$C$49,,0)</f>
        <v>L</v>
      </c>
      <c r="K931" s="5">
        <f>_xlfn.XLOOKUP(D931,products!$A$1:$A$49,products!$D$1:$D$49,,0)</f>
        <v>0.2</v>
      </c>
      <c r="L931" s="7">
        <f>_xlfn.XLOOKUP(D931,products!$A$1:$A$49,products!$E$1:$E$49,,0)</f>
        <v>4.4550000000000001</v>
      </c>
      <c r="M931" s="7">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IF(_xlfn.XLOOKUP(F932,customers!$B$1:$B$1001,customers!$C$1:$C$1001,,0)=0,"",_xlfn.XLOOKUP(F932,customers!$B$1:$B$1001,customers!$C$1:$C$1001,,0))</f>
        <v>kphilbrickpu@cdc.gov</v>
      </c>
      <c r="H932" s="2" t="str">
        <f>_xlfn.XLOOKUP(C932,customers!$A$1:$A$1001,customers!$G$1:$G$1001,,0)</f>
        <v>United States</v>
      </c>
      <c r="I932" t="str">
        <f>_xlfn.XLOOKUP(D932,products!$A$1:$A$49,products!$B$1:$B$49,,0)</f>
        <v>Exc</v>
      </c>
      <c r="J932" t="str">
        <f>_xlfn.XLOOKUP(D932,products!$A$1:$A$49,products!$C$1:$C$49,,0)</f>
        <v>D</v>
      </c>
      <c r="K932" s="5">
        <f>_xlfn.XLOOKUP(D932,products!$A$1:$A$49,products!$D$1:$D$49,,0)</f>
        <v>1</v>
      </c>
      <c r="L932" s="7">
        <f>_xlfn.XLOOKUP(D932,products!$A$1:$A$49,products!$E$1:$E$49,,0)</f>
        <v>12.15</v>
      </c>
      <c r="M932" s="7">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IF(_xlfn.XLOOKUP(F933,customers!$B$1:$B$1001,customers!$C$1:$C$1001,,0)=0,"",_xlfn.XLOOKUP(F933,customers!$B$1:$B$1001,customers!$C$1:$C$1001,,0))</f>
        <v/>
      </c>
      <c r="H933" s="2" t="str">
        <f>_xlfn.XLOOKUP(C933,customers!$A$1:$A$1001,customers!$G$1:$G$1001,,0)</f>
        <v>United States</v>
      </c>
      <c r="I933" t="str">
        <f>_xlfn.XLOOKUP(D933,products!$A$1:$A$49,products!$B$1:$B$49,,0)</f>
        <v>Ara</v>
      </c>
      <c r="J933" t="str">
        <f>_xlfn.XLOOKUP(D933,products!$A$1:$A$49,products!$C$1:$C$49,,0)</f>
        <v>D</v>
      </c>
      <c r="K933" s="5">
        <f>_xlfn.XLOOKUP(D933,products!$A$1:$A$49,products!$D$1:$D$49,,0)</f>
        <v>0.5</v>
      </c>
      <c r="L933" s="7">
        <f>_xlfn.XLOOKUP(D933,products!$A$1:$A$49,products!$E$1:$E$49,,0)</f>
        <v>5.97</v>
      </c>
      <c r="M933" s="7">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IF(_xlfn.XLOOKUP(F934,customers!$B$1:$B$1001,customers!$C$1:$C$1001,,0)=0,"",_xlfn.XLOOKUP(F934,customers!$B$1:$B$1001,customers!$C$1:$C$1001,,0))</f>
        <v>bsillispw@istockphoto.com</v>
      </c>
      <c r="H934" s="2" t="str">
        <f>_xlfn.XLOOKUP(C934,customers!$A$1:$A$1001,customers!$G$1:$G$1001,,0)</f>
        <v>United States</v>
      </c>
      <c r="I934" t="str">
        <f>_xlfn.XLOOKUP(D934,products!$A$1:$A$49,products!$B$1:$B$49,,0)</f>
        <v>Exc</v>
      </c>
      <c r="J934" t="str">
        <f>_xlfn.XLOOKUP(D934,products!$A$1:$A$49,products!$C$1:$C$49,,0)</f>
        <v>M</v>
      </c>
      <c r="K934" s="5">
        <f>_xlfn.XLOOKUP(D934,products!$A$1:$A$49,products!$D$1:$D$49,,0)</f>
        <v>1</v>
      </c>
      <c r="L934" s="7">
        <f>_xlfn.XLOOKUP(D934,products!$A$1:$A$49,products!$E$1:$E$49,,0)</f>
        <v>13.75</v>
      </c>
      <c r="M934" s="7">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IF(_xlfn.XLOOKUP(F935,customers!$B$1:$B$1001,customers!$C$1:$C$1001,,0)=0,"",_xlfn.XLOOKUP(F935,customers!$B$1:$B$1001,customers!$C$1:$C$1001,,0))</f>
        <v/>
      </c>
      <c r="H935" s="2" t="str">
        <f>_xlfn.XLOOKUP(C935,customers!$A$1:$A$1001,customers!$G$1:$G$1001,,0)</f>
        <v>United States</v>
      </c>
      <c r="I935" t="str">
        <f>_xlfn.XLOOKUP(D935,products!$A$1:$A$49,products!$B$1:$B$49,,0)</f>
        <v>Rob</v>
      </c>
      <c r="J935" t="str">
        <f>_xlfn.XLOOKUP(D935,products!$A$1:$A$49,products!$C$1:$C$49,,0)</f>
        <v>D</v>
      </c>
      <c r="K935" s="5">
        <f>_xlfn.XLOOKUP(D935,products!$A$1:$A$49,products!$D$1:$D$49,,0)</f>
        <v>1</v>
      </c>
      <c r="L935" s="7">
        <f>_xlfn.XLOOKUP(D935,products!$A$1:$A$49,products!$E$1:$E$49,,0)</f>
        <v>8.9499999999999993</v>
      </c>
      <c r="M935" s="7">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IF(_xlfn.XLOOKUP(F936,customers!$B$1:$B$1001,customers!$C$1:$C$1001,,0)=0,"",_xlfn.XLOOKUP(F936,customers!$B$1:$B$1001,customers!$C$1:$C$1001,,0))</f>
        <v>rcuttspy@techcrunch.com</v>
      </c>
      <c r="H936" s="2" t="str">
        <f>_xlfn.XLOOKUP(C936,customers!$A$1:$A$1001,customers!$G$1:$G$1001,,0)</f>
        <v>United States</v>
      </c>
      <c r="I936" t="str">
        <f>_xlfn.XLOOKUP(D936,products!$A$1:$A$49,products!$B$1:$B$49,,0)</f>
        <v>Rob</v>
      </c>
      <c r="J936" t="str">
        <f>_xlfn.XLOOKUP(D936,products!$A$1:$A$49,products!$C$1:$C$49,,0)</f>
        <v>M</v>
      </c>
      <c r="K936" s="5">
        <f>_xlfn.XLOOKUP(D936,products!$A$1:$A$49,products!$D$1:$D$49,,0)</f>
        <v>2.5</v>
      </c>
      <c r="L936" s="7">
        <f>_xlfn.XLOOKUP(D936,products!$A$1:$A$49,products!$E$1:$E$49,,0)</f>
        <v>22.884999999999998</v>
      </c>
      <c r="M936" s="7">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IF(_xlfn.XLOOKUP(F937,customers!$B$1:$B$1001,customers!$C$1:$C$1001,,0)=0,"",_xlfn.XLOOKUP(F937,customers!$B$1:$B$1001,customers!$C$1:$C$1001,,0))</f>
        <v>mdelvespz@nature.com</v>
      </c>
      <c r="H937" s="2" t="str">
        <f>_xlfn.XLOOKUP(C937,customers!$A$1:$A$1001,customers!$G$1:$G$1001,,0)</f>
        <v>United States</v>
      </c>
      <c r="I937" t="str">
        <f>_xlfn.XLOOKUP(D937,products!$A$1:$A$49,products!$B$1:$B$49,,0)</f>
        <v>Ara</v>
      </c>
      <c r="J937" t="str">
        <f>_xlfn.XLOOKUP(D937,products!$A$1:$A$49,products!$C$1:$C$49,,0)</f>
        <v>M</v>
      </c>
      <c r="K937" s="5">
        <f>_xlfn.XLOOKUP(D937,products!$A$1:$A$49,products!$D$1:$D$49,,0)</f>
        <v>2.5</v>
      </c>
      <c r="L937" s="7">
        <f>_xlfn.XLOOKUP(D937,products!$A$1:$A$49,products!$E$1:$E$49,,0)</f>
        <v>25.874999999999996</v>
      </c>
      <c r="M937" s="7">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IF(_xlfn.XLOOKUP(F938,customers!$B$1:$B$1001,customers!$C$1:$C$1001,,0)=0,"",_xlfn.XLOOKUP(F938,customers!$B$1:$B$1001,customers!$C$1:$C$1001,,0))</f>
        <v>dgrittonq0@nydailynews.com</v>
      </c>
      <c r="H938" s="2" t="str">
        <f>_xlfn.XLOOKUP(C938,customers!$A$1:$A$1001,customers!$G$1:$G$1001,,0)</f>
        <v>United States</v>
      </c>
      <c r="I938" t="str">
        <f>_xlfn.XLOOKUP(D938,products!$A$1:$A$49,products!$B$1:$B$49,,0)</f>
        <v>Lib</v>
      </c>
      <c r="J938" t="str">
        <f>_xlfn.XLOOKUP(D938,products!$A$1:$A$49,products!$C$1:$C$49,,0)</f>
        <v>D</v>
      </c>
      <c r="K938" s="5">
        <f>_xlfn.XLOOKUP(D938,products!$A$1:$A$49,products!$D$1:$D$49,,0)</f>
        <v>0.5</v>
      </c>
      <c r="L938" s="7">
        <f>_xlfn.XLOOKUP(D938,products!$A$1:$A$49,products!$E$1:$E$49,,0)</f>
        <v>7.77</v>
      </c>
      <c r="M938" s="7">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IF(_xlfn.XLOOKUP(F939,customers!$B$1:$B$1001,customers!$C$1:$C$1001,,0)=0,"",_xlfn.XLOOKUP(F939,customers!$B$1:$B$1001,customers!$C$1:$C$1001,,0))</f>
        <v>dgrittonq0@nydailynews.com</v>
      </c>
      <c r="H939" s="2" t="str">
        <f>_xlfn.XLOOKUP(C939,customers!$A$1:$A$1001,customers!$G$1:$G$1001,,0)</f>
        <v>United States</v>
      </c>
      <c r="I939" t="str">
        <f>_xlfn.XLOOKUP(D939,products!$A$1:$A$49,products!$B$1:$B$49,,0)</f>
        <v>Rob</v>
      </c>
      <c r="J939" t="str">
        <f>_xlfn.XLOOKUP(D939,products!$A$1:$A$49,products!$C$1:$C$49,,0)</f>
        <v>M</v>
      </c>
      <c r="K939" s="5">
        <f>_xlfn.XLOOKUP(D939,products!$A$1:$A$49,products!$D$1:$D$49,,0)</f>
        <v>2.5</v>
      </c>
      <c r="L939" s="7">
        <f>_xlfn.XLOOKUP(D939,products!$A$1:$A$49,products!$E$1:$E$49,,0)</f>
        <v>22.884999999999998</v>
      </c>
      <c r="M939" s="7">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IF(_xlfn.XLOOKUP(F940,customers!$B$1:$B$1001,customers!$C$1:$C$1001,,0)=0,"",_xlfn.XLOOKUP(F940,customers!$B$1:$B$1001,customers!$C$1:$C$1001,,0))</f>
        <v>dgutq2@umich.edu</v>
      </c>
      <c r="H940" s="2" t="str">
        <f>_xlfn.XLOOKUP(C940,customers!$A$1:$A$1001,customers!$G$1:$G$1001,,0)</f>
        <v>United States</v>
      </c>
      <c r="I940" t="str">
        <f>_xlfn.XLOOKUP(D940,products!$A$1:$A$49,products!$B$1:$B$49,,0)</f>
        <v>Exc</v>
      </c>
      <c r="J940" t="str">
        <f>_xlfn.XLOOKUP(D940,products!$A$1:$A$49,products!$C$1:$C$49,,0)</f>
        <v>L</v>
      </c>
      <c r="K940" s="5">
        <f>_xlfn.XLOOKUP(D940,products!$A$1:$A$49,products!$D$1:$D$49,,0)</f>
        <v>1</v>
      </c>
      <c r="L940" s="7">
        <f>_xlfn.XLOOKUP(D940,products!$A$1:$A$49,products!$E$1:$E$49,,0)</f>
        <v>14.85</v>
      </c>
      <c r="M940" s="7">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IF(_xlfn.XLOOKUP(F941,customers!$B$1:$B$1001,customers!$C$1:$C$1001,,0)=0,"",_xlfn.XLOOKUP(F941,customers!$B$1:$B$1001,customers!$C$1:$C$1001,,0))</f>
        <v>wpummeryq3@topsy.com</v>
      </c>
      <c r="H941" s="2" t="str">
        <f>_xlfn.XLOOKUP(C941,customers!$A$1:$A$1001,customers!$G$1:$G$1001,,0)</f>
        <v>United States</v>
      </c>
      <c r="I941" t="str">
        <f>_xlfn.XLOOKUP(D941,products!$A$1:$A$49,products!$B$1:$B$49,,0)</f>
        <v>Lib</v>
      </c>
      <c r="J941" t="str">
        <f>_xlfn.XLOOKUP(D941,products!$A$1:$A$49,products!$C$1:$C$49,,0)</f>
        <v>L</v>
      </c>
      <c r="K941" s="5">
        <f>_xlfn.XLOOKUP(D941,products!$A$1:$A$49,products!$D$1:$D$49,,0)</f>
        <v>0.2</v>
      </c>
      <c r="L941" s="7">
        <f>_xlfn.XLOOKUP(D941,products!$A$1:$A$49,products!$E$1:$E$49,,0)</f>
        <v>4.7549999999999999</v>
      </c>
      <c r="M941" s="7">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IF(_xlfn.XLOOKUP(F942,customers!$B$1:$B$1001,customers!$C$1:$C$1001,,0)=0,"",_xlfn.XLOOKUP(F942,customers!$B$1:$B$1001,customers!$C$1:$C$1001,,0))</f>
        <v>gsiudaq4@nytimes.com</v>
      </c>
      <c r="H942" s="2" t="str">
        <f>_xlfn.XLOOKUP(C942,customers!$A$1:$A$1001,customers!$G$1:$G$1001,,0)</f>
        <v>United States</v>
      </c>
      <c r="I942" t="str">
        <f>_xlfn.XLOOKUP(D942,products!$A$1:$A$49,products!$B$1:$B$49,,0)</f>
        <v>Rob</v>
      </c>
      <c r="J942" t="str">
        <f>_xlfn.XLOOKUP(D942,products!$A$1:$A$49,products!$C$1:$C$49,,0)</f>
        <v>L</v>
      </c>
      <c r="K942" s="5">
        <f>_xlfn.XLOOKUP(D942,products!$A$1:$A$49,products!$D$1:$D$49,,0)</f>
        <v>0.5</v>
      </c>
      <c r="L942" s="7">
        <f>_xlfn.XLOOKUP(D942,products!$A$1:$A$49,products!$E$1:$E$49,,0)</f>
        <v>7.169999999999999</v>
      </c>
      <c r="M942" s="7">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IF(_xlfn.XLOOKUP(F943,customers!$B$1:$B$1001,customers!$C$1:$C$1001,,0)=0,"",_xlfn.XLOOKUP(F943,customers!$B$1:$B$1001,customers!$C$1:$C$1001,,0))</f>
        <v>hcrowneq5@wufoo.com</v>
      </c>
      <c r="H943" s="2" t="str">
        <f>_xlfn.XLOOKUP(C943,customers!$A$1:$A$1001,customers!$G$1:$G$1001,,0)</f>
        <v>Ireland</v>
      </c>
      <c r="I943" t="str">
        <f>_xlfn.XLOOKUP(D943,products!$A$1:$A$49,products!$B$1:$B$49,,0)</f>
        <v>Ara</v>
      </c>
      <c r="J943" t="str">
        <f>_xlfn.XLOOKUP(D943,products!$A$1:$A$49,products!$C$1:$C$49,,0)</f>
        <v>L</v>
      </c>
      <c r="K943" s="5">
        <f>_xlfn.XLOOKUP(D943,products!$A$1:$A$49,products!$D$1:$D$49,,0)</f>
        <v>0.5</v>
      </c>
      <c r="L943" s="7">
        <f>_xlfn.XLOOKUP(D943,products!$A$1:$A$49,products!$E$1:$E$49,,0)</f>
        <v>7.77</v>
      </c>
      <c r="M943" s="7">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IF(_xlfn.XLOOKUP(F944,customers!$B$1:$B$1001,customers!$C$1:$C$1001,,0)=0,"",_xlfn.XLOOKUP(F944,customers!$B$1:$B$1001,customers!$C$1:$C$1001,,0))</f>
        <v>vpawseyq6@tiny.cc</v>
      </c>
      <c r="H944" s="2" t="str">
        <f>_xlfn.XLOOKUP(C944,customers!$A$1:$A$1001,customers!$G$1:$G$1001,,0)</f>
        <v>United States</v>
      </c>
      <c r="I944" t="str">
        <f>_xlfn.XLOOKUP(D944,products!$A$1:$A$49,products!$B$1:$B$49,,0)</f>
        <v>Rob</v>
      </c>
      <c r="J944" t="str">
        <f>_xlfn.XLOOKUP(D944,products!$A$1:$A$49,products!$C$1:$C$49,,0)</f>
        <v>L</v>
      </c>
      <c r="K944" s="5">
        <f>_xlfn.XLOOKUP(D944,products!$A$1:$A$49,products!$D$1:$D$49,,0)</f>
        <v>1</v>
      </c>
      <c r="L944" s="7">
        <f>_xlfn.XLOOKUP(D944,products!$A$1:$A$49,products!$E$1:$E$49,,0)</f>
        <v>11.95</v>
      </c>
      <c r="M944" s="7">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IF(_xlfn.XLOOKUP(F945,customers!$B$1:$B$1001,customers!$C$1:$C$1001,,0)=0,"",_xlfn.XLOOKUP(F945,customers!$B$1:$B$1001,customers!$C$1:$C$1001,,0))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5">
        <f>_xlfn.XLOOKUP(D945,products!$A$1:$A$49,products!$D$1:$D$49,,0)</f>
        <v>0.5</v>
      </c>
      <c r="L945" s="7">
        <f>_xlfn.XLOOKUP(D945,products!$A$1:$A$49,products!$E$1:$E$49,,0)</f>
        <v>7.77</v>
      </c>
      <c r="M945" s="7">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IF(_xlfn.XLOOKUP(F946,customers!$B$1:$B$1001,customers!$C$1:$C$1001,,0)=0,"",_xlfn.XLOOKUP(F946,customers!$B$1:$B$1001,customers!$C$1:$C$1001,,0))</f>
        <v>fhaughianq8@1688.com</v>
      </c>
      <c r="H946" s="2" t="str">
        <f>_xlfn.XLOOKUP(C946,customers!$A$1:$A$1001,customers!$G$1:$G$1001,,0)</f>
        <v>United States</v>
      </c>
      <c r="I946" t="str">
        <f>_xlfn.XLOOKUP(D946,products!$A$1:$A$49,products!$B$1:$B$49,,0)</f>
        <v>Rob</v>
      </c>
      <c r="J946" t="str">
        <f>_xlfn.XLOOKUP(D946,products!$A$1:$A$49,products!$C$1:$C$49,,0)</f>
        <v>L</v>
      </c>
      <c r="K946" s="5">
        <f>_xlfn.XLOOKUP(D946,products!$A$1:$A$49,products!$D$1:$D$49,,0)</f>
        <v>0.5</v>
      </c>
      <c r="L946" s="7">
        <f>_xlfn.XLOOKUP(D946,products!$A$1:$A$49,products!$E$1:$E$49,,0)</f>
        <v>7.169999999999999</v>
      </c>
      <c r="M946" s="7">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IF(_xlfn.XLOOKUP(F947,customers!$B$1:$B$1001,customers!$C$1:$C$1001,,0)=0,"",_xlfn.XLOOKUP(F947,customers!$B$1:$B$1001,customers!$C$1:$C$1001,,0))</f>
        <v/>
      </c>
      <c r="H947" s="2" t="str">
        <f>_xlfn.XLOOKUP(C947,customers!$A$1:$A$1001,customers!$G$1:$G$1001,,0)</f>
        <v>United States</v>
      </c>
      <c r="I947" t="str">
        <f>_xlfn.XLOOKUP(D947,products!$A$1:$A$49,products!$B$1:$B$49,,0)</f>
        <v>Lib</v>
      </c>
      <c r="J947" t="str">
        <f>_xlfn.XLOOKUP(D947,products!$A$1:$A$49,products!$C$1:$C$49,,0)</f>
        <v>D</v>
      </c>
      <c r="K947" s="5">
        <f>_xlfn.XLOOKUP(D947,products!$A$1:$A$49,products!$D$1:$D$49,,0)</f>
        <v>2.5</v>
      </c>
      <c r="L947" s="7">
        <f>_xlfn.XLOOKUP(D947,products!$A$1:$A$49,products!$E$1:$E$49,,0)</f>
        <v>29.784999999999997</v>
      </c>
      <c r="M947" s="7">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IF(_xlfn.XLOOKUP(F948,customers!$B$1:$B$1001,customers!$C$1:$C$1001,,0)=0,"",_xlfn.XLOOKUP(F948,customers!$B$1:$B$1001,customers!$C$1:$C$1001,,0))</f>
        <v/>
      </c>
      <c r="H948" s="2" t="str">
        <f>_xlfn.XLOOKUP(C948,customers!$A$1:$A$1001,customers!$G$1:$G$1001,,0)</f>
        <v>United States</v>
      </c>
      <c r="I948" t="str">
        <f>_xlfn.XLOOKUP(D948,products!$A$1:$A$49,products!$B$1:$B$49,,0)</f>
        <v>Lib</v>
      </c>
      <c r="J948" t="str">
        <f>_xlfn.XLOOKUP(D948,products!$A$1:$A$49,products!$C$1:$C$49,,0)</f>
        <v>D</v>
      </c>
      <c r="K948" s="5">
        <f>_xlfn.XLOOKUP(D948,products!$A$1:$A$49,products!$D$1:$D$49,,0)</f>
        <v>0.5</v>
      </c>
      <c r="L948" s="7">
        <f>_xlfn.XLOOKUP(D948,products!$A$1:$A$49,products!$E$1:$E$49,,0)</f>
        <v>7.77</v>
      </c>
      <c r="M948" s="7">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IF(_xlfn.XLOOKUP(F949,customers!$B$1:$B$1001,customers!$C$1:$C$1001,,0)=0,"",_xlfn.XLOOKUP(F949,customers!$B$1:$B$1001,customers!$C$1:$C$1001,,0))</f>
        <v>rfaltinqb@topsy.com</v>
      </c>
      <c r="H949" s="2" t="str">
        <f>_xlfn.XLOOKUP(C949,customers!$A$1:$A$1001,customers!$G$1:$G$1001,,0)</f>
        <v>Ireland</v>
      </c>
      <c r="I949" t="str">
        <f>_xlfn.XLOOKUP(D949,products!$A$1:$A$49,products!$B$1:$B$49,,0)</f>
        <v>Ara</v>
      </c>
      <c r="J949" t="str">
        <f>_xlfn.XLOOKUP(D949,products!$A$1:$A$49,products!$C$1:$C$49,,0)</f>
        <v>M</v>
      </c>
      <c r="K949" s="5">
        <f>_xlfn.XLOOKUP(D949,products!$A$1:$A$49,products!$D$1:$D$49,,0)</f>
        <v>1</v>
      </c>
      <c r="L949" s="7">
        <f>_xlfn.XLOOKUP(D949,products!$A$1:$A$49,products!$E$1:$E$49,,0)</f>
        <v>11.25</v>
      </c>
      <c r="M949" s="7">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IF(_xlfn.XLOOKUP(F950,customers!$B$1:$B$1001,customers!$C$1:$C$1001,,0)=0,"",_xlfn.XLOOKUP(F950,customers!$B$1:$B$1001,customers!$C$1:$C$1001,,0))</f>
        <v>gcheekeqc@sitemeter.com</v>
      </c>
      <c r="H950" s="2" t="str">
        <f>_xlfn.XLOOKUP(C950,customers!$A$1:$A$1001,customers!$G$1:$G$1001,,0)</f>
        <v>United Kingdom</v>
      </c>
      <c r="I950" t="str">
        <f>_xlfn.XLOOKUP(D950,products!$A$1:$A$49,products!$B$1:$B$49,,0)</f>
        <v>Exc</v>
      </c>
      <c r="J950" t="str">
        <f>_xlfn.XLOOKUP(D950,products!$A$1:$A$49,products!$C$1:$C$49,,0)</f>
        <v>D</v>
      </c>
      <c r="K950" s="5">
        <f>_xlfn.XLOOKUP(D950,products!$A$1:$A$49,products!$D$1:$D$49,,0)</f>
        <v>2.5</v>
      </c>
      <c r="L950" s="7">
        <f>_xlfn.XLOOKUP(D950,products!$A$1:$A$49,products!$E$1:$E$49,,0)</f>
        <v>27.945</v>
      </c>
      <c r="M950" s="7">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IF(_xlfn.XLOOKUP(F951,customers!$B$1:$B$1001,customers!$C$1:$C$1001,,0)=0,"",_xlfn.XLOOKUP(F951,customers!$B$1:$B$1001,customers!$C$1:$C$1001,,0))</f>
        <v>grattqd@phpbb.com</v>
      </c>
      <c r="H951" s="2" t="str">
        <f>_xlfn.XLOOKUP(C951,customers!$A$1:$A$1001,customers!$G$1:$G$1001,,0)</f>
        <v>Ireland</v>
      </c>
      <c r="I951" t="str">
        <f>_xlfn.XLOOKUP(D951,products!$A$1:$A$49,products!$B$1:$B$49,,0)</f>
        <v>Rob</v>
      </c>
      <c r="J951" t="str">
        <f>_xlfn.XLOOKUP(D951,products!$A$1:$A$49,products!$C$1:$C$49,,0)</f>
        <v>L</v>
      </c>
      <c r="K951" s="5">
        <f>_xlfn.XLOOKUP(D951,products!$A$1:$A$49,products!$D$1:$D$49,,0)</f>
        <v>2.5</v>
      </c>
      <c r="L951" s="7">
        <f>_xlfn.XLOOKUP(D951,products!$A$1:$A$49,products!$E$1:$E$49,,0)</f>
        <v>27.484999999999996</v>
      </c>
      <c r="M951" s="7">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IF(_xlfn.XLOOKUP(F952,customers!$B$1:$B$1001,customers!$C$1:$C$1001,,0)=0,"",_xlfn.XLOOKUP(F952,customers!$B$1:$B$1001,customers!$C$1:$C$1001,,0))</f>
        <v/>
      </c>
      <c r="H952" s="2" t="str">
        <f>_xlfn.XLOOKUP(C952,customers!$A$1:$A$1001,customers!$G$1:$G$1001,,0)</f>
        <v>United States</v>
      </c>
      <c r="I952" t="str">
        <f>_xlfn.XLOOKUP(D952,products!$A$1:$A$49,products!$B$1:$B$49,,0)</f>
        <v>Rob</v>
      </c>
      <c r="J952" t="str">
        <f>_xlfn.XLOOKUP(D952,products!$A$1:$A$49,products!$C$1:$C$49,,0)</f>
        <v>L</v>
      </c>
      <c r="K952" s="5">
        <f>_xlfn.XLOOKUP(D952,products!$A$1:$A$49,products!$D$1:$D$49,,0)</f>
        <v>0.2</v>
      </c>
      <c r="L952" s="7">
        <f>_xlfn.XLOOKUP(D952,products!$A$1:$A$49,products!$E$1:$E$49,,0)</f>
        <v>3.5849999999999995</v>
      </c>
      <c r="M952" s="7">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IF(_xlfn.XLOOKUP(F953,customers!$B$1:$B$1001,customers!$C$1:$C$1001,,0)=0,"",_xlfn.XLOOKUP(F953,customers!$B$1:$B$1001,customers!$C$1:$C$1001,,0))</f>
        <v>ieberleinqf@hc360.com</v>
      </c>
      <c r="H953" s="2" t="str">
        <f>_xlfn.XLOOKUP(C953,customers!$A$1:$A$1001,customers!$G$1:$G$1001,,0)</f>
        <v>United States</v>
      </c>
      <c r="I953" t="str">
        <f>_xlfn.XLOOKUP(D953,products!$A$1:$A$49,products!$B$1:$B$49,,0)</f>
        <v>Rob</v>
      </c>
      <c r="J953" t="str">
        <f>_xlfn.XLOOKUP(D953,products!$A$1:$A$49,products!$C$1:$C$49,,0)</f>
        <v>L</v>
      </c>
      <c r="K953" s="5">
        <f>_xlfn.XLOOKUP(D953,products!$A$1:$A$49,products!$D$1:$D$49,,0)</f>
        <v>0.2</v>
      </c>
      <c r="L953" s="7">
        <f>_xlfn.XLOOKUP(D953,products!$A$1:$A$49,products!$E$1:$E$49,,0)</f>
        <v>3.5849999999999995</v>
      </c>
      <c r="M953" s="7">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IF(_xlfn.XLOOKUP(F954,customers!$B$1:$B$1001,customers!$C$1:$C$1001,,0)=0,"",_xlfn.XLOOKUP(F954,customers!$B$1:$B$1001,customers!$C$1:$C$1001,,0))</f>
        <v>jdrengqg@uiuc.edu</v>
      </c>
      <c r="H954" s="2" t="str">
        <f>_xlfn.XLOOKUP(C954,customers!$A$1:$A$1001,customers!$G$1:$G$1001,,0)</f>
        <v>Ireland</v>
      </c>
      <c r="I954" t="str">
        <f>_xlfn.XLOOKUP(D954,products!$A$1:$A$49,products!$B$1:$B$49,,0)</f>
        <v>Ara</v>
      </c>
      <c r="J954" t="str">
        <f>_xlfn.XLOOKUP(D954,products!$A$1:$A$49,products!$C$1:$C$49,,0)</f>
        <v>M</v>
      </c>
      <c r="K954" s="5">
        <f>_xlfn.XLOOKUP(D954,products!$A$1:$A$49,products!$D$1:$D$49,,0)</f>
        <v>1</v>
      </c>
      <c r="L954" s="7">
        <f>_xlfn.XLOOKUP(D954,products!$A$1:$A$49,products!$E$1:$E$49,,0)</f>
        <v>11.25</v>
      </c>
      <c r="M954" s="7">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IF(_xlfn.XLOOKUP(F955,customers!$B$1:$B$1001,customers!$C$1:$C$1001,,0)=0,"",_xlfn.XLOOKUP(F955,customers!$B$1:$B$1001,customers!$C$1:$C$1001,,0))</f>
        <v/>
      </c>
      <c r="H955" s="2" t="str">
        <f>_xlfn.XLOOKUP(C955,customers!$A$1:$A$1001,customers!$G$1:$G$1001,,0)</f>
        <v>United States</v>
      </c>
      <c r="I955" t="str">
        <f>_xlfn.XLOOKUP(D955,products!$A$1:$A$49,products!$B$1:$B$49,,0)</f>
        <v>Ara</v>
      </c>
      <c r="J955" t="str">
        <f>_xlfn.XLOOKUP(D955,products!$A$1:$A$49,products!$C$1:$C$49,,0)</f>
        <v>L</v>
      </c>
      <c r="K955" s="5">
        <f>_xlfn.XLOOKUP(D955,products!$A$1:$A$49,products!$D$1:$D$49,,0)</f>
        <v>0.2</v>
      </c>
      <c r="L955" s="7">
        <f>_xlfn.XLOOKUP(D955,products!$A$1:$A$49,products!$E$1:$E$49,,0)</f>
        <v>3.8849999999999998</v>
      </c>
      <c r="M955" s="7">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IF(_xlfn.XLOOKUP(F956,customers!$B$1:$B$1001,customers!$C$1:$C$1001,,0)=0,"",_xlfn.XLOOKUP(F956,customers!$B$1:$B$1001,customers!$C$1:$C$1001,,0))</f>
        <v/>
      </c>
      <c r="H956" s="2" t="str">
        <f>_xlfn.XLOOKUP(C956,customers!$A$1:$A$1001,customers!$G$1:$G$1001,,0)</f>
        <v>United States</v>
      </c>
      <c r="I956" t="str">
        <f>_xlfn.XLOOKUP(D956,products!$A$1:$A$49,products!$B$1:$B$49,,0)</f>
        <v>Exc</v>
      </c>
      <c r="J956" t="str">
        <f>_xlfn.XLOOKUP(D956,products!$A$1:$A$49,products!$C$1:$C$49,,0)</f>
        <v>D</v>
      </c>
      <c r="K956" s="5">
        <f>_xlfn.XLOOKUP(D956,products!$A$1:$A$49,products!$D$1:$D$49,,0)</f>
        <v>2.5</v>
      </c>
      <c r="L956" s="7">
        <f>_xlfn.XLOOKUP(D956,products!$A$1:$A$49,products!$E$1:$E$49,,0)</f>
        <v>27.945</v>
      </c>
      <c r="M956" s="7">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IF(_xlfn.XLOOKUP(F957,customers!$B$1:$B$1001,customers!$C$1:$C$1001,,0)=0,"",_xlfn.XLOOKUP(F957,customers!$B$1:$B$1001,customers!$C$1:$C$1001,,0))</f>
        <v/>
      </c>
      <c r="H957" s="2" t="str">
        <f>_xlfn.XLOOKUP(C957,customers!$A$1:$A$1001,customers!$G$1:$G$1001,,0)</f>
        <v>United States</v>
      </c>
      <c r="I957" t="str">
        <f>_xlfn.XLOOKUP(D957,products!$A$1:$A$49,products!$B$1:$B$49,,0)</f>
        <v>Exc</v>
      </c>
      <c r="J957" t="str">
        <f>_xlfn.XLOOKUP(D957,products!$A$1:$A$49,products!$C$1:$C$49,,0)</f>
        <v>L</v>
      </c>
      <c r="K957" s="5">
        <f>_xlfn.XLOOKUP(D957,products!$A$1:$A$49,products!$D$1:$D$49,,0)</f>
        <v>2.5</v>
      </c>
      <c r="L957" s="7">
        <f>_xlfn.XLOOKUP(D957,products!$A$1:$A$49,products!$E$1:$E$49,,0)</f>
        <v>34.154999999999994</v>
      </c>
      <c r="M957" s="7">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IF(_xlfn.XLOOKUP(F958,customers!$B$1:$B$1001,customers!$C$1:$C$1001,,0)=0,"",_xlfn.XLOOKUP(F958,customers!$B$1:$B$1001,customers!$C$1:$C$1001,,0))</f>
        <v/>
      </c>
      <c r="H958" s="2" t="str">
        <f>_xlfn.XLOOKUP(C958,customers!$A$1:$A$1001,customers!$G$1:$G$1001,,0)</f>
        <v>United States</v>
      </c>
      <c r="I958" t="str">
        <f>_xlfn.XLOOKUP(D958,products!$A$1:$A$49,products!$B$1:$B$49,,0)</f>
        <v>Rob</v>
      </c>
      <c r="J958" t="str">
        <f>_xlfn.XLOOKUP(D958,products!$A$1:$A$49,products!$C$1:$C$49,,0)</f>
        <v>L</v>
      </c>
      <c r="K958" s="5">
        <f>_xlfn.XLOOKUP(D958,products!$A$1:$A$49,products!$D$1:$D$49,,0)</f>
        <v>2.5</v>
      </c>
      <c r="L958" s="7">
        <f>_xlfn.XLOOKUP(D958,products!$A$1:$A$49,products!$E$1:$E$49,,0)</f>
        <v>27.484999999999996</v>
      </c>
      <c r="M958" s="7">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IF(_xlfn.XLOOKUP(F959,customers!$B$1:$B$1001,customers!$C$1:$C$1001,,0)=0,"",_xlfn.XLOOKUP(F959,customers!$B$1:$B$1001,customers!$C$1:$C$1001,,0))</f>
        <v/>
      </c>
      <c r="H959" s="2" t="str">
        <f>_xlfn.XLOOKUP(C959,customers!$A$1:$A$1001,customers!$G$1:$G$1001,,0)</f>
        <v>United States</v>
      </c>
      <c r="I959" t="str">
        <f>_xlfn.XLOOKUP(D959,products!$A$1:$A$49,products!$B$1:$B$49,,0)</f>
        <v>Exc</v>
      </c>
      <c r="J959" t="str">
        <f>_xlfn.XLOOKUP(D959,products!$A$1:$A$49,products!$C$1:$C$49,,0)</f>
        <v>L</v>
      </c>
      <c r="K959" s="5">
        <f>_xlfn.XLOOKUP(D959,products!$A$1:$A$49,products!$D$1:$D$49,,0)</f>
        <v>1</v>
      </c>
      <c r="L959" s="7">
        <f>_xlfn.XLOOKUP(D959,products!$A$1:$A$49,products!$E$1:$E$49,,0)</f>
        <v>14.85</v>
      </c>
      <c r="M959" s="7">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IF(_xlfn.XLOOKUP(F960,customers!$B$1:$B$1001,customers!$C$1:$C$1001,,0)=0,"",_xlfn.XLOOKUP(F960,customers!$B$1:$B$1001,customers!$C$1:$C$1001,,0))</f>
        <v/>
      </c>
      <c r="H960" s="2" t="str">
        <f>_xlfn.XLOOKUP(C960,customers!$A$1:$A$1001,customers!$G$1:$G$1001,,0)</f>
        <v>United States</v>
      </c>
      <c r="I960" t="str">
        <f>_xlfn.XLOOKUP(D960,products!$A$1:$A$49,products!$B$1:$B$49,,0)</f>
        <v>Ara</v>
      </c>
      <c r="J960" t="str">
        <f>_xlfn.XLOOKUP(D960,products!$A$1:$A$49,products!$C$1:$C$49,,0)</f>
        <v>L</v>
      </c>
      <c r="K960" s="5">
        <f>_xlfn.XLOOKUP(D960,products!$A$1:$A$49,products!$D$1:$D$49,,0)</f>
        <v>0.2</v>
      </c>
      <c r="L960" s="7">
        <f>_xlfn.XLOOKUP(D960,products!$A$1:$A$49,products!$E$1:$E$49,,0)</f>
        <v>3.8849999999999998</v>
      </c>
      <c r="M960" s="7">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IF(_xlfn.XLOOKUP(F961,customers!$B$1:$B$1001,customers!$C$1:$C$1001,,0)=0,"",_xlfn.XLOOKUP(F961,customers!$B$1:$B$1001,customers!$C$1:$C$1001,,0))</f>
        <v>rstrathernqn@devhub.com</v>
      </c>
      <c r="H961" s="2" t="str">
        <f>_xlfn.XLOOKUP(C961,customers!$A$1:$A$1001,customers!$G$1:$G$1001,,0)</f>
        <v>United States</v>
      </c>
      <c r="I961" t="str">
        <f>_xlfn.XLOOKUP(D961,products!$A$1:$A$49,products!$B$1:$B$49,,0)</f>
        <v>Lib</v>
      </c>
      <c r="J961" t="str">
        <f>_xlfn.XLOOKUP(D961,products!$A$1:$A$49,products!$C$1:$C$49,,0)</f>
        <v>L</v>
      </c>
      <c r="K961" s="5">
        <f>_xlfn.XLOOKUP(D961,products!$A$1:$A$49,products!$D$1:$D$49,,0)</f>
        <v>0.2</v>
      </c>
      <c r="L961" s="7">
        <f>_xlfn.XLOOKUP(D961,products!$A$1:$A$49,products!$E$1:$E$49,,0)</f>
        <v>4.7549999999999999</v>
      </c>
      <c r="M961" s="7">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IF(_xlfn.XLOOKUP(F962,customers!$B$1:$B$1001,customers!$C$1:$C$1001,,0)=0,"",_xlfn.XLOOKUP(F962,customers!$B$1:$B$1001,customers!$C$1:$C$1001,,0))</f>
        <v>cmiguelqo@exblog.jp</v>
      </c>
      <c r="H962" s="2" t="str">
        <f>_xlfn.XLOOKUP(C962,customers!$A$1:$A$1001,customers!$G$1:$G$1001,,0)</f>
        <v>United States</v>
      </c>
      <c r="I962" t="str">
        <f>_xlfn.XLOOKUP(D962,products!$A$1:$A$49,products!$B$1:$B$49,,0)</f>
        <v>Lib</v>
      </c>
      <c r="J962" t="str">
        <f>_xlfn.XLOOKUP(D962,products!$A$1:$A$49,products!$C$1:$C$49,,0)</f>
        <v>L</v>
      </c>
      <c r="K962" s="5">
        <f>_xlfn.XLOOKUP(D962,products!$A$1:$A$49,products!$D$1:$D$49,,0)</f>
        <v>1</v>
      </c>
      <c r="L962" s="7">
        <f>_xlfn.XLOOKUP(D962,products!$A$1:$A$49,products!$E$1:$E$49,,0)</f>
        <v>15.85</v>
      </c>
      <c r="M962" s="7">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IF(_xlfn.XLOOKUP(F963,customers!$B$1:$B$1001,customers!$C$1:$C$1001,,0)=0,"",_xlfn.XLOOKUP(F963,customers!$B$1:$B$1001,customers!$C$1:$C$1001,,0))</f>
        <v/>
      </c>
      <c r="H963" s="2" t="str">
        <f>_xlfn.XLOOKUP(C963,customers!$A$1:$A$1001,customers!$G$1:$G$1001,,0)</f>
        <v>United States</v>
      </c>
      <c r="I963" t="str">
        <f>_xlfn.XLOOKUP(D963,products!$A$1:$A$49,products!$B$1:$B$49,,0)</f>
        <v>Ara</v>
      </c>
      <c r="J963" t="str">
        <f>_xlfn.XLOOKUP(D963,products!$A$1:$A$49,products!$C$1:$C$49,,0)</f>
        <v>D</v>
      </c>
      <c r="K963" s="5">
        <f>_xlfn.XLOOKUP(D963,products!$A$1:$A$49,products!$D$1:$D$49,,0)</f>
        <v>2.5</v>
      </c>
      <c r="L963" s="7">
        <f>_xlfn.XLOOKUP(D963,products!$A$1:$A$49,products!$E$1:$E$49,,0)</f>
        <v>22.884999999999998</v>
      </c>
      <c r="M963" s="7">
        <f t="shared" ref="M963:M1001" si="45">(L963*E963)</f>
        <v>45.769999999999996</v>
      </c>
      <c r="N963" t="str">
        <f t="shared" ref="N963:N1001" si="46">IF(I963="Rob","Robusta", 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IF(_xlfn.XLOOKUP(F964,customers!$B$1:$B$1001,customers!$C$1:$C$1001,,0)=0,"",_xlfn.XLOOKUP(F964,customers!$B$1:$B$1001,customers!$C$1:$C$1001,,0))</f>
        <v>mrocksqq@exblog.jp</v>
      </c>
      <c r="H964" s="2" t="str">
        <f>_xlfn.XLOOKUP(C964,customers!$A$1:$A$1001,customers!$G$1:$G$1001,,0)</f>
        <v>Ireland</v>
      </c>
      <c r="I964" t="str">
        <f>_xlfn.XLOOKUP(D964,products!$A$1:$A$49,products!$B$1:$B$49,,0)</f>
        <v>Rob</v>
      </c>
      <c r="J964" t="str">
        <f>_xlfn.XLOOKUP(D964,products!$A$1:$A$49,products!$C$1:$C$49,,0)</f>
        <v>D</v>
      </c>
      <c r="K964" s="5">
        <f>_xlfn.XLOOKUP(D964,products!$A$1:$A$49,products!$D$1:$D$49,,0)</f>
        <v>1</v>
      </c>
      <c r="L964" s="7">
        <f>_xlfn.XLOOKUP(D964,products!$A$1:$A$49,products!$E$1:$E$49,,0)</f>
        <v>8.9499999999999993</v>
      </c>
      <c r="M964" s="7">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IF(_xlfn.XLOOKUP(F965,customers!$B$1:$B$1001,customers!$C$1:$C$1001,,0)=0,"",_xlfn.XLOOKUP(F965,customers!$B$1:$B$1001,customers!$C$1:$C$1001,,0))</f>
        <v>yburrellsqr@vinaora.com</v>
      </c>
      <c r="H965" s="2" t="str">
        <f>_xlfn.XLOOKUP(C965,customers!$A$1:$A$1001,customers!$G$1:$G$1001,,0)</f>
        <v>United States</v>
      </c>
      <c r="I965" t="str">
        <f>_xlfn.XLOOKUP(D965,products!$A$1:$A$49,products!$B$1:$B$49,,0)</f>
        <v>Rob</v>
      </c>
      <c r="J965" t="str">
        <f>_xlfn.XLOOKUP(D965,products!$A$1:$A$49,products!$C$1:$C$49,,0)</f>
        <v>M</v>
      </c>
      <c r="K965" s="5">
        <f>_xlfn.XLOOKUP(D965,products!$A$1:$A$49,products!$D$1:$D$49,,0)</f>
        <v>0.5</v>
      </c>
      <c r="L965" s="7">
        <f>_xlfn.XLOOKUP(D965,products!$A$1:$A$49,products!$E$1:$E$49,,0)</f>
        <v>5.97</v>
      </c>
      <c r="M965" s="7">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IF(_xlfn.XLOOKUP(F966,customers!$B$1:$B$1001,customers!$C$1:$C$1001,,0)=0,"",_xlfn.XLOOKUP(F966,customers!$B$1:$B$1001,customers!$C$1:$C$1001,,0))</f>
        <v>cgoodrumqs@goodreads.com</v>
      </c>
      <c r="H966" s="2" t="str">
        <f>_xlfn.XLOOKUP(C966,customers!$A$1:$A$1001,customers!$G$1:$G$1001,,0)</f>
        <v>United States</v>
      </c>
      <c r="I966" t="str">
        <f>_xlfn.XLOOKUP(D966,products!$A$1:$A$49,products!$B$1:$B$49,,0)</f>
        <v>Exc</v>
      </c>
      <c r="J966" t="str">
        <f>_xlfn.XLOOKUP(D966,products!$A$1:$A$49,products!$C$1:$C$49,,0)</f>
        <v>L</v>
      </c>
      <c r="K966" s="5">
        <f>_xlfn.XLOOKUP(D966,products!$A$1:$A$49,products!$D$1:$D$49,,0)</f>
        <v>0.2</v>
      </c>
      <c r="L966" s="7">
        <f>_xlfn.XLOOKUP(D966,products!$A$1:$A$49,products!$E$1:$E$49,,0)</f>
        <v>4.4550000000000001</v>
      </c>
      <c r="M966" s="7">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IF(_xlfn.XLOOKUP(F967,customers!$B$1:$B$1001,customers!$C$1:$C$1001,,0)=0,"",_xlfn.XLOOKUP(F967,customers!$B$1:$B$1001,customers!$C$1:$C$1001,,0))</f>
        <v>jjefferysqt@blog.com</v>
      </c>
      <c r="H967" s="2" t="str">
        <f>_xlfn.XLOOKUP(C967,customers!$A$1:$A$1001,customers!$G$1:$G$1001,,0)</f>
        <v>United States</v>
      </c>
      <c r="I967" t="str">
        <f>_xlfn.XLOOKUP(D967,products!$A$1:$A$49,products!$B$1:$B$49,,0)</f>
        <v>Rob</v>
      </c>
      <c r="J967" t="str">
        <f>_xlfn.XLOOKUP(D967,products!$A$1:$A$49,products!$C$1:$C$49,,0)</f>
        <v>M</v>
      </c>
      <c r="K967" s="5">
        <f>_xlfn.XLOOKUP(D967,products!$A$1:$A$49,products!$D$1:$D$49,,0)</f>
        <v>1</v>
      </c>
      <c r="L967" s="7">
        <f>_xlfn.XLOOKUP(D967,products!$A$1:$A$49,products!$E$1:$E$49,,0)</f>
        <v>9.9499999999999993</v>
      </c>
      <c r="M967" s="7">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IF(_xlfn.XLOOKUP(F968,customers!$B$1:$B$1001,customers!$C$1:$C$1001,,0)=0,"",_xlfn.XLOOKUP(F968,customers!$B$1:$B$1001,customers!$C$1:$C$1001,,0))</f>
        <v>bwardellqu@adobe.com</v>
      </c>
      <c r="H968" s="2" t="str">
        <f>_xlfn.XLOOKUP(C968,customers!$A$1:$A$1001,customers!$G$1:$G$1001,,0)</f>
        <v>United States</v>
      </c>
      <c r="I968" t="str">
        <f>_xlfn.XLOOKUP(D968,products!$A$1:$A$49,products!$B$1:$B$49,,0)</f>
        <v>Exc</v>
      </c>
      <c r="J968" t="str">
        <f>_xlfn.XLOOKUP(D968,products!$A$1:$A$49,products!$C$1:$C$49,,0)</f>
        <v>L</v>
      </c>
      <c r="K968" s="5">
        <f>_xlfn.XLOOKUP(D968,products!$A$1:$A$49,products!$D$1:$D$49,,0)</f>
        <v>0.5</v>
      </c>
      <c r="L968" s="7">
        <f>_xlfn.XLOOKUP(D968,products!$A$1:$A$49,products!$E$1:$E$49,,0)</f>
        <v>8.91</v>
      </c>
      <c r="M968" s="7">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IF(_xlfn.XLOOKUP(F969,customers!$B$1:$B$1001,customers!$C$1:$C$1001,,0)=0,"",_xlfn.XLOOKUP(F969,customers!$B$1:$B$1001,customers!$C$1:$C$1001,,0))</f>
        <v>zwalisiakqv@ucsd.edu</v>
      </c>
      <c r="H969" s="2" t="str">
        <f>_xlfn.XLOOKUP(C969,customers!$A$1:$A$1001,customers!$G$1:$G$1001,,0)</f>
        <v>Ireland</v>
      </c>
      <c r="I969" t="str">
        <f>_xlfn.XLOOKUP(D969,products!$A$1:$A$49,products!$B$1:$B$49,,0)</f>
        <v>Rob</v>
      </c>
      <c r="J969" t="str">
        <f>_xlfn.XLOOKUP(D969,products!$A$1:$A$49,products!$C$1:$C$49,,0)</f>
        <v>D</v>
      </c>
      <c r="K969" s="5">
        <f>_xlfn.XLOOKUP(D969,products!$A$1:$A$49,products!$D$1:$D$49,,0)</f>
        <v>0.2</v>
      </c>
      <c r="L969" s="7">
        <f>_xlfn.XLOOKUP(D969,products!$A$1:$A$49,products!$E$1:$E$49,,0)</f>
        <v>2.6849999999999996</v>
      </c>
      <c r="M969" s="7">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IF(_xlfn.XLOOKUP(F970,customers!$B$1:$B$1001,customers!$C$1:$C$1001,,0)=0,"",_xlfn.XLOOKUP(F970,customers!$B$1:$B$1001,customers!$C$1:$C$1001,,0))</f>
        <v>wleopoldqw@blogspot.com</v>
      </c>
      <c r="H970" s="2" t="str">
        <f>_xlfn.XLOOKUP(C970,customers!$A$1:$A$1001,customers!$G$1:$G$1001,,0)</f>
        <v>United States</v>
      </c>
      <c r="I970" t="str">
        <f>_xlfn.XLOOKUP(D970,products!$A$1:$A$49,products!$B$1:$B$49,,0)</f>
        <v>Rob</v>
      </c>
      <c r="J970" t="str">
        <f>_xlfn.XLOOKUP(D970,products!$A$1:$A$49,products!$C$1:$C$49,,0)</f>
        <v>M</v>
      </c>
      <c r="K970" s="5">
        <f>_xlfn.XLOOKUP(D970,products!$A$1:$A$49,products!$D$1:$D$49,,0)</f>
        <v>0.2</v>
      </c>
      <c r="L970" s="7">
        <f>_xlfn.XLOOKUP(D970,products!$A$1:$A$49,products!$E$1:$E$49,,0)</f>
        <v>2.9849999999999999</v>
      </c>
      <c r="M970" s="7">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IF(_xlfn.XLOOKUP(F971,customers!$B$1:$B$1001,customers!$C$1:$C$1001,,0)=0,"",_xlfn.XLOOKUP(F971,customers!$B$1:$B$1001,customers!$C$1:$C$1001,,0))</f>
        <v>cshaldersqx@cisco.com</v>
      </c>
      <c r="H971" s="2" t="str">
        <f>_xlfn.XLOOKUP(C971,customers!$A$1:$A$1001,customers!$G$1:$G$1001,,0)</f>
        <v>United States</v>
      </c>
      <c r="I971" t="str">
        <f>_xlfn.XLOOKUP(D971,products!$A$1:$A$49,products!$B$1:$B$49,,0)</f>
        <v>Lib</v>
      </c>
      <c r="J971" t="str">
        <f>_xlfn.XLOOKUP(D971,products!$A$1:$A$49,products!$C$1:$C$49,,0)</f>
        <v>D</v>
      </c>
      <c r="K971" s="5">
        <f>_xlfn.XLOOKUP(D971,products!$A$1:$A$49,products!$D$1:$D$49,,0)</f>
        <v>1</v>
      </c>
      <c r="L971" s="7">
        <f>_xlfn.XLOOKUP(D971,products!$A$1:$A$49,products!$E$1:$E$49,,0)</f>
        <v>12.95</v>
      </c>
      <c r="M971" s="7">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IF(_xlfn.XLOOKUP(F972,customers!$B$1:$B$1001,customers!$C$1:$C$1001,,0)=0,"",_xlfn.XLOOKUP(F972,customers!$B$1:$B$1001,customers!$C$1:$C$1001,,0))</f>
        <v/>
      </c>
      <c r="H972" s="2" t="str">
        <f>_xlfn.XLOOKUP(C972,customers!$A$1:$A$1001,customers!$G$1:$G$1001,,0)</f>
        <v>United States</v>
      </c>
      <c r="I972" t="str">
        <f>_xlfn.XLOOKUP(D972,products!$A$1:$A$49,products!$B$1:$B$49,,0)</f>
        <v>Exc</v>
      </c>
      <c r="J972" t="str">
        <f>_xlfn.XLOOKUP(D972,products!$A$1:$A$49,products!$C$1:$C$49,,0)</f>
        <v>M</v>
      </c>
      <c r="K972" s="5">
        <f>_xlfn.XLOOKUP(D972,products!$A$1:$A$49,products!$D$1:$D$49,,0)</f>
        <v>0.5</v>
      </c>
      <c r="L972" s="7">
        <f>_xlfn.XLOOKUP(D972,products!$A$1:$A$49,products!$E$1:$E$49,,0)</f>
        <v>8.25</v>
      </c>
      <c r="M972" s="7">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IF(_xlfn.XLOOKUP(F973,customers!$B$1:$B$1001,customers!$C$1:$C$1001,,0)=0,"",_xlfn.XLOOKUP(F973,customers!$B$1:$B$1001,customers!$C$1:$C$1001,,0))</f>
        <v>nfurberqz@jugem.jp</v>
      </c>
      <c r="H973" s="2" t="str">
        <f>_xlfn.XLOOKUP(C973,customers!$A$1:$A$1001,customers!$G$1:$G$1001,,0)</f>
        <v>United States</v>
      </c>
      <c r="I973" t="str">
        <f>_xlfn.XLOOKUP(D973,products!$A$1:$A$49,products!$B$1:$B$49,,0)</f>
        <v>Ara</v>
      </c>
      <c r="J973" t="str">
        <f>_xlfn.XLOOKUP(D973,products!$A$1:$A$49,products!$C$1:$C$49,,0)</f>
        <v>L</v>
      </c>
      <c r="K973" s="5">
        <f>_xlfn.XLOOKUP(D973,products!$A$1:$A$49,products!$D$1:$D$49,,0)</f>
        <v>2.5</v>
      </c>
      <c r="L973" s="7">
        <f>_xlfn.XLOOKUP(D973,products!$A$1:$A$49,products!$E$1:$E$49,,0)</f>
        <v>29.784999999999997</v>
      </c>
      <c r="M973" s="7">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IF(_xlfn.XLOOKUP(F974,customers!$B$1:$B$1001,customers!$C$1:$C$1001,,0)=0,"",_xlfn.XLOOKUP(F974,customers!$B$1:$B$1001,customers!$C$1:$C$1001,,0))</f>
        <v/>
      </c>
      <c r="H974" s="2" t="str">
        <f>_xlfn.XLOOKUP(C974,customers!$A$1:$A$1001,customers!$G$1:$G$1001,,0)</f>
        <v>Ireland</v>
      </c>
      <c r="I974" t="str">
        <f>_xlfn.XLOOKUP(D974,products!$A$1:$A$49,products!$B$1:$B$49,,0)</f>
        <v>Ara</v>
      </c>
      <c r="J974" t="str">
        <f>_xlfn.XLOOKUP(D974,products!$A$1:$A$49,products!$C$1:$C$49,,0)</f>
        <v>L</v>
      </c>
      <c r="K974" s="5">
        <f>_xlfn.XLOOKUP(D974,products!$A$1:$A$49,products!$D$1:$D$49,,0)</f>
        <v>2.5</v>
      </c>
      <c r="L974" s="7">
        <f>_xlfn.XLOOKUP(D974,products!$A$1:$A$49,products!$E$1:$E$49,,0)</f>
        <v>29.784999999999997</v>
      </c>
      <c r="M974" s="7">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IF(_xlfn.XLOOKUP(F975,customers!$B$1:$B$1001,customers!$C$1:$C$1001,,0)=0,"",_xlfn.XLOOKUP(F975,customers!$B$1:$B$1001,customers!$C$1:$C$1001,,0))</f>
        <v>ckeaver1@ucoz.com</v>
      </c>
      <c r="H975" s="2" t="str">
        <f>_xlfn.XLOOKUP(C975,customers!$A$1:$A$1001,customers!$G$1:$G$1001,,0)</f>
        <v>United States</v>
      </c>
      <c r="I975" t="str">
        <f>_xlfn.XLOOKUP(D975,products!$A$1:$A$49,products!$B$1:$B$49,,0)</f>
        <v>Lib</v>
      </c>
      <c r="J975" t="str">
        <f>_xlfn.XLOOKUP(D975,products!$A$1:$A$49,products!$C$1:$C$49,,0)</f>
        <v>M</v>
      </c>
      <c r="K975" s="5">
        <f>_xlfn.XLOOKUP(D975,products!$A$1:$A$49,products!$D$1:$D$49,,0)</f>
        <v>1</v>
      </c>
      <c r="L975" s="7">
        <f>_xlfn.XLOOKUP(D975,products!$A$1:$A$49,products!$E$1:$E$49,,0)</f>
        <v>14.55</v>
      </c>
      <c r="M975" s="7">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IF(_xlfn.XLOOKUP(F976,customers!$B$1:$B$1001,customers!$C$1:$C$1001,,0)=0,"",_xlfn.XLOOKUP(F976,customers!$B$1:$B$1001,customers!$C$1:$C$1001,,0))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5">
        <f>_xlfn.XLOOKUP(D976,products!$A$1:$A$49,products!$D$1:$D$49,,0)</f>
        <v>0.5</v>
      </c>
      <c r="L976" s="7">
        <f>_xlfn.XLOOKUP(D976,products!$A$1:$A$49,products!$E$1:$E$49,,0)</f>
        <v>5.3699999999999992</v>
      </c>
      <c r="M976" s="7">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IF(_xlfn.XLOOKUP(F977,customers!$B$1:$B$1001,customers!$C$1:$C$1001,,0)=0,"",_xlfn.XLOOKUP(F977,customers!$B$1:$B$1001,customers!$C$1:$C$1001,,0))</f>
        <v>ckingwellr3@squarespace.com</v>
      </c>
      <c r="H977" s="2" t="str">
        <f>_xlfn.XLOOKUP(C977,customers!$A$1:$A$1001,customers!$G$1:$G$1001,,0)</f>
        <v>Ireland</v>
      </c>
      <c r="I977" t="str">
        <f>_xlfn.XLOOKUP(D977,products!$A$1:$A$49,products!$B$1:$B$49,,0)</f>
        <v>Ara</v>
      </c>
      <c r="J977" t="str">
        <f>_xlfn.XLOOKUP(D977,products!$A$1:$A$49,products!$C$1:$C$49,,0)</f>
        <v>D</v>
      </c>
      <c r="K977" s="5">
        <f>_xlfn.XLOOKUP(D977,products!$A$1:$A$49,products!$D$1:$D$49,,0)</f>
        <v>0.2</v>
      </c>
      <c r="L977" s="7">
        <f>_xlfn.XLOOKUP(D977,products!$A$1:$A$49,products!$E$1:$E$49,,0)</f>
        <v>2.9849999999999999</v>
      </c>
      <c r="M977" s="7">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IF(_xlfn.XLOOKUP(F978,customers!$B$1:$B$1001,customers!$C$1:$C$1001,,0)=0,"",_xlfn.XLOOKUP(F978,customers!$B$1:$B$1001,customers!$C$1:$C$1001,,0))</f>
        <v>kcantor4@gmpg.org</v>
      </c>
      <c r="H978" s="2" t="str">
        <f>_xlfn.XLOOKUP(C978,customers!$A$1:$A$1001,customers!$G$1:$G$1001,,0)</f>
        <v>United States</v>
      </c>
      <c r="I978" t="str">
        <f>_xlfn.XLOOKUP(D978,products!$A$1:$A$49,products!$B$1:$B$49,,0)</f>
        <v>Rob</v>
      </c>
      <c r="J978" t="str">
        <f>_xlfn.XLOOKUP(D978,products!$A$1:$A$49,products!$C$1:$C$49,,0)</f>
        <v>L</v>
      </c>
      <c r="K978" s="5">
        <f>_xlfn.XLOOKUP(D978,products!$A$1:$A$49,products!$D$1:$D$49,,0)</f>
        <v>2.5</v>
      </c>
      <c r="L978" s="7">
        <f>_xlfn.XLOOKUP(D978,products!$A$1:$A$49,products!$E$1:$E$49,,0)</f>
        <v>27.484999999999996</v>
      </c>
      <c r="M978" s="7">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IF(_xlfn.XLOOKUP(F979,customers!$B$1:$B$1001,customers!$C$1:$C$1001,,0)=0,"",_xlfn.XLOOKUP(F979,customers!$B$1:$B$1001,customers!$C$1:$C$1001,,0))</f>
        <v>mblakemorer5@nsw.gov.au</v>
      </c>
      <c r="H979" s="2" t="str">
        <f>_xlfn.XLOOKUP(C979,customers!$A$1:$A$1001,customers!$G$1:$G$1001,,0)</f>
        <v>United States</v>
      </c>
      <c r="I979" t="str">
        <f>_xlfn.XLOOKUP(D979,products!$A$1:$A$49,products!$B$1:$B$49,,0)</f>
        <v>Rob</v>
      </c>
      <c r="J979" t="str">
        <f>_xlfn.XLOOKUP(D979,products!$A$1:$A$49,products!$C$1:$C$49,,0)</f>
        <v>L</v>
      </c>
      <c r="K979" s="5">
        <f>_xlfn.XLOOKUP(D979,products!$A$1:$A$49,products!$D$1:$D$49,,0)</f>
        <v>1</v>
      </c>
      <c r="L979" s="7">
        <f>_xlfn.XLOOKUP(D979,products!$A$1:$A$49,products!$E$1:$E$49,,0)</f>
        <v>11.95</v>
      </c>
      <c r="M979" s="7">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IF(_xlfn.XLOOKUP(F980,customers!$B$1:$B$1001,customers!$C$1:$C$1001,,0)=0,"",_xlfn.XLOOKUP(F980,customers!$B$1:$B$1001,customers!$C$1:$C$1001,,0))</f>
        <v>ckeaver1@ucoz.com</v>
      </c>
      <c r="H980" s="2" t="str">
        <f>_xlfn.XLOOKUP(C980,customers!$A$1:$A$1001,customers!$G$1:$G$1001,,0)</f>
        <v>United States</v>
      </c>
      <c r="I980" t="str">
        <f>_xlfn.XLOOKUP(D980,products!$A$1:$A$49,products!$B$1:$B$49,,0)</f>
        <v>Ara</v>
      </c>
      <c r="J980" t="str">
        <f>_xlfn.XLOOKUP(D980,products!$A$1:$A$49,products!$C$1:$C$49,,0)</f>
        <v>L</v>
      </c>
      <c r="K980" s="5">
        <f>_xlfn.XLOOKUP(D980,products!$A$1:$A$49,products!$D$1:$D$49,,0)</f>
        <v>0.5</v>
      </c>
      <c r="L980" s="7">
        <f>_xlfn.XLOOKUP(D980,products!$A$1:$A$49,products!$E$1:$E$49,,0)</f>
        <v>7.77</v>
      </c>
      <c r="M980" s="7">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IF(_xlfn.XLOOKUP(F981,customers!$B$1:$B$1001,customers!$C$1:$C$1001,,0)=0,"",_xlfn.XLOOKUP(F981,customers!$B$1:$B$1001,customers!$C$1:$C$1001,,0))</f>
        <v/>
      </c>
      <c r="H981" s="2" t="str">
        <f>_xlfn.XLOOKUP(C981,customers!$A$1:$A$1001,customers!$G$1:$G$1001,,0)</f>
        <v>United States</v>
      </c>
      <c r="I981" t="str">
        <f>_xlfn.XLOOKUP(D981,products!$A$1:$A$49,products!$B$1:$B$49,,0)</f>
        <v>Rob</v>
      </c>
      <c r="J981" t="str">
        <f>_xlfn.XLOOKUP(D981,products!$A$1:$A$49,products!$C$1:$C$49,,0)</f>
        <v>D</v>
      </c>
      <c r="K981" s="5">
        <f>_xlfn.XLOOKUP(D981,products!$A$1:$A$49,products!$D$1:$D$49,,0)</f>
        <v>0.5</v>
      </c>
      <c r="L981" s="7">
        <f>_xlfn.XLOOKUP(D981,products!$A$1:$A$49,products!$E$1:$E$49,,0)</f>
        <v>5.3699999999999992</v>
      </c>
      <c r="M981" s="7">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IF(_xlfn.XLOOKUP(F982,customers!$B$1:$B$1001,customers!$C$1:$C$1001,,0)=0,"",_xlfn.XLOOKUP(F982,customers!$B$1:$B$1001,customers!$C$1:$C$1001,,0))</f>
        <v/>
      </c>
      <c r="H982" s="2" t="str">
        <f>_xlfn.XLOOKUP(C982,customers!$A$1:$A$1001,customers!$G$1:$G$1001,,0)</f>
        <v>United States</v>
      </c>
      <c r="I982" t="str">
        <f>_xlfn.XLOOKUP(D982,products!$A$1:$A$49,products!$B$1:$B$49,,0)</f>
        <v>Exc</v>
      </c>
      <c r="J982" t="str">
        <f>_xlfn.XLOOKUP(D982,products!$A$1:$A$49,products!$C$1:$C$49,,0)</f>
        <v>D</v>
      </c>
      <c r="K982" s="5">
        <f>_xlfn.XLOOKUP(D982,products!$A$1:$A$49,products!$D$1:$D$49,,0)</f>
        <v>2.5</v>
      </c>
      <c r="L982" s="7">
        <f>_xlfn.XLOOKUP(D982,products!$A$1:$A$49,products!$E$1:$E$49,,0)</f>
        <v>27.945</v>
      </c>
      <c r="M982" s="7">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IF(_xlfn.XLOOKUP(F983,customers!$B$1:$B$1001,customers!$C$1:$C$1001,,0)=0,"",_xlfn.XLOOKUP(F983,customers!$B$1:$B$1001,customers!$C$1:$C$1001,,0))</f>
        <v>cbernardotr9@wix.com</v>
      </c>
      <c r="H983" s="2" t="str">
        <f>_xlfn.XLOOKUP(C983,customers!$A$1:$A$1001,customers!$G$1:$G$1001,,0)</f>
        <v>United States</v>
      </c>
      <c r="I983" t="str">
        <f>_xlfn.XLOOKUP(D983,products!$A$1:$A$49,products!$B$1:$B$49,,0)</f>
        <v>Exc</v>
      </c>
      <c r="J983" t="str">
        <f>_xlfn.XLOOKUP(D983,products!$A$1:$A$49,products!$C$1:$C$49,,0)</f>
        <v>D</v>
      </c>
      <c r="K983" s="5">
        <f>_xlfn.XLOOKUP(D983,products!$A$1:$A$49,products!$D$1:$D$49,,0)</f>
        <v>0.2</v>
      </c>
      <c r="L983" s="7">
        <f>_xlfn.XLOOKUP(D983,products!$A$1:$A$49,products!$E$1:$E$49,,0)</f>
        <v>3.645</v>
      </c>
      <c r="M983" s="7">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IF(_xlfn.XLOOKUP(F984,customers!$B$1:$B$1001,customers!$C$1:$C$1001,,0)=0,"",_xlfn.XLOOKUP(F984,customers!$B$1:$B$1001,customers!$C$1:$C$1001,,0))</f>
        <v>kkemeryra@t.co</v>
      </c>
      <c r="H984" s="2" t="str">
        <f>_xlfn.XLOOKUP(C984,customers!$A$1:$A$1001,customers!$G$1:$G$1001,,0)</f>
        <v>United States</v>
      </c>
      <c r="I984" t="str">
        <f>_xlfn.XLOOKUP(D984,products!$A$1:$A$49,products!$B$1:$B$49,,0)</f>
        <v>Rob</v>
      </c>
      <c r="J984" t="str">
        <f>_xlfn.XLOOKUP(D984,products!$A$1:$A$49,products!$C$1:$C$49,,0)</f>
        <v>L</v>
      </c>
      <c r="K984" s="5">
        <f>_xlfn.XLOOKUP(D984,products!$A$1:$A$49,products!$D$1:$D$49,,0)</f>
        <v>1</v>
      </c>
      <c r="L984" s="7">
        <f>_xlfn.XLOOKUP(D984,products!$A$1:$A$49,products!$E$1:$E$49,,0)</f>
        <v>11.95</v>
      </c>
      <c r="M984" s="7">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IF(_xlfn.XLOOKUP(F985,customers!$B$1:$B$1001,customers!$C$1:$C$1001,,0)=0,"",_xlfn.XLOOKUP(F985,customers!$B$1:$B$1001,customers!$C$1:$C$1001,,0))</f>
        <v>fparlotrb@forbes.com</v>
      </c>
      <c r="H985" s="2" t="str">
        <f>_xlfn.XLOOKUP(C985,customers!$A$1:$A$1001,customers!$G$1:$G$1001,,0)</f>
        <v>United States</v>
      </c>
      <c r="I985" t="str">
        <f>_xlfn.XLOOKUP(D985,products!$A$1:$A$49,products!$B$1:$B$49,,0)</f>
        <v>Ara</v>
      </c>
      <c r="J985" t="str">
        <f>_xlfn.XLOOKUP(D985,products!$A$1:$A$49,products!$C$1:$C$49,,0)</f>
        <v>M</v>
      </c>
      <c r="K985" s="5">
        <f>_xlfn.XLOOKUP(D985,products!$A$1:$A$49,products!$D$1:$D$49,,0)</f>
        <v>0.2</v>
      </c>
      <c r="L985" s="7">
        <f>_xlfn.XLOOKUP(D985,products!$A$1:$A$49,products!$E$1:$E$49,,0)</f>
        <v>3.375</v>
      </c>
      <c r="M985" s="7">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IF(_xlfn.XLOOKUP(F986,customers!$B$1:$B$1001,customers!$C$1:$C$1001,,0)=0,"",_xlfn.XLOOKUP(F986,customers!$B$1:$B$1001,customers!$C$1:$C$1001,,0))</f>
        <v>rcheakrc@tripadvisor.com</v>
      </c>
      <c r="H986" s="2" t="str">
        <f>_xlfn.XLOOKUP(C986,customers!$A$1:$A$1001,customers!$G$1:$G$1001,,0)</f>
        <v>Ireland</v>
      </c>
      <c r="I986" t="str">
        <f>_xlfn.XLOOKUP(D986,products!$A$1:$A$49,products!$B$1:$B$49,,0)</f>
        <v>Exc</v>
      </c>
      <c r="J986" t="str">
        <f>_xlfn.XLOOKUP(D986,products!$A$1:$A$49,products!$C$1:$C$49,,0)</f>
        <v>M</v>
      </c>
      <c r="K986" s="5">
        <f>_xlfn.XLOOKUP(D986,products!$A$1:$A$49,products!$D$1:$D$49,,0)</f>
        <v>2.5</v>
      </c>
      <c r="L986" s="7">
        <f>_xlfn.XLOOKUP(D986,products!$A$1:$A$49,products!$E$1:$E$49,,0)</f>
        <v>31.624999999999996</v>
      </c>
      <c r="M986" s="7">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IF(_xlfn.XLOOKUP(F987,customers!$B$1:$B$1001,customers!$C$1:$C$1001,,0)=0,"",_xlfn.XLOOKUP(F987,customers!$B$1:$B$1001,customers!$C$1:$C$1001,,0))</f>
        <v>kogeneayrd@utexas.edu</v>
      </c>
      <c r="H987" s="2" t="str">
        <f>_xlfn.XLOOKUP(C987,customers!$A$1:$A$1001,customers!$G$1:$G$1001,,0)</f>
        <v>United States</v>
      </c>
      <c r="I987" t="str">
        <f>_xlfn.XLOOKUP(D987,products!$A$1:$A$49,products!$B$1:$B$49,,0)</f>
        <v>Rob</v>
      </c>
      <c r="J987" t="str">
        <f>_xlfn.XLOOKUP(D987,products!$A$1:$A$49,products!$C$1:$C$49,,0)</f>
        <v>L</v>
      </c>
      <c r="K987" s="5">
        <f>_xlfn.XLOOKUP(D987,products!$A$1:$A$49,products!$D$1:$D$49,,0)</f>
        <v>1</v>
      </c>
      <c r="L987" s="7">
        <f>_xlfn.XLOOKUP(D987,products!$A$1:$A$49,products!$E$1:$E$49,,0)</f>
        <v>11.95</v>
      </c>
      <c r="M987" s="7">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IF(_xlfn.XLOOKUP(F988,customers!$B$1:$B$1001,customers!$C$1:$C$1001,,0)=0,"",_xlfn.XLOOKUP(F988,customers!$B$1:$B$1001,customers!$C$1:$C$1001,,0))</f>
        <v>cayrere@symantec.com</v>
      </c>
      <c r="H988" s="2" t="str">
        <f>_xlfn.XLOOKUP(C988,customers!$A$1:$A$1001,customers!$G$1:$G$1001,,0)</f>
        <v>United States</v>
      </c>
      <c r="I988" t="str">
        <f>_xlfn.XLOOKUP(D988,products!$A$1:$A$49,products!$B$1:$B$49,,0)</f>
        <v>Lib</v>
      </c>
      <c r="J988" t="str">
        <f>_xlfn.XLOOKUP(D988,products!$A$1:$A$49,products!$C$1:$C$49,,0)</f>
        <v>M</v>
      </c>
      <c r="K988" s="5">
        <f>_xlfn.XLOOKUP(D988,products!$A$1:$A$49,products!$D$1:$D$49,,0)</f>
        <v>2.5</v>
      </c>
      <c r="L988" s="7">
        <f>_xlfn.XLOOKUP(D988,products!$A$1:$A$49,products!$E$1:$E$49,,0)</f>
        <v>33.464999999999996</v>
      </c>
      <c r="M988" s="7">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IF(_xlfn.XLOOKUP(F989,customers!$B$1:$B$1001,customers!$C$1:$C$1001,,0)=0,"",_xlfn.XLOOKUP(F989,customers!$B$1:$B$1001,customers!$C$1:$C$1001,,0))</f>
        <v>lkynetonrf@macromedia.com</v>
      </c>
      <c r="H989" s="2" t="str">
        <f>_xlfn.XLOOKUP(C989,customers!$A$1:$A$1001,customers!$G$1:$G$1001,,0)</f>
        <v>United Kingdom</v>
      </c>
      <c r="I989" t="str">
        <f>_xlfn.XLOOKUP(D989,products!$A$1:$A$49,products!$B$1:$B$49,,0)</f>
        <v>Ara</v>
      </c>
      <c r="J989" t="str">
        <f>_xlfn.XLOOKUP(D989,products!$A$1:$A$49,products!$C$1:$C$49,,0)</f>
        <v>D</v>
      </c>
      <c r="K989" s="5">
        <f>_xlfn.XLOOKUP(D989,products!$A$1:$A$49,products!$D$1:$D$49,,0)</f>
        <v>0.5</v>
      </c>
      <c r="L989" s="7">
        <f>_xlfn.XLOOKUP(D989,products!$A$1:$A$49,products!$E$1:$E$49,,0)</f>
        <v>5.97</v>
      </c>
      <c r="M989" s="7">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IF(_xlfn.XLOOKUP(F990,customers!$B$1:$B$1001,customers!$C$1:$C$1001,,0)=0,"",_xlfn.XLOOKUP(F990,customers!$B$1:$B$1001,customers!$C$1:$C$1001,,0))</f>
        <v/>
      </c>
      <c r="H990" s="2" t="str">
        <f>_xlfn.XLOOKUP(C990,customers!$A$1:$A$1001,customers!$G$1:$G$1001,,0)</f>
        <v>United Kingdom</v>
      </c>
      <c r="I990" t="str">
        <f>_xlfn.XLOOKUP(D990,products!$A$1:$A$49,products!$B$1:$B$49,,0)</f>
        <v>Rob</v>
      </c>
      <c r="J990" t="str">
        <f>_xlfn.XLOOKUP(D990,products!$A$1:$A$49,products!$C$1:$C$49,,0)</f>
        <v>M</v>
      </c>
      <c r="K990" s="5">
        <f>_xlfn.XLOOKUP(D990,products!$A$1:$A$49,products!$D$1:$D$49,,0)</f>
        <v>1</v>
      </c>
      <c r="L990" s="7">
        <f>_xlfn.XLOOKUP(D990,products!$A$1:$A$49,products!$E$1:$E$49,,0)</f>
        <v>9.9499999999999993</v>
      </c>
      <c r="M990" s="7">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IF(_xlfn.XLOOKUP(F991,customers!$B$1:$B$1001,customers!$C$1:$C$1001,,0)=0,"",_xlfn.XLOOKUP(F991,customers!$B$1:$B$1001,customers!$C$1:$C$1001,,0))</f>
        <v/>
      </c>
      <c r="H991" s="2" t="str">
        <f>_xlfn.XLOOKUP(C991,customers!$A$1:$A$1001,customers!$G$1:$G$1001,,0)</f>
        <v>United States</v>
      </c>
      <c r="I991" t="str">
        <f>_xlfn.XLOOKUP(D991,products!$A$1:$A$49,products!$B$1:$B$49,,0)</f>
        <v>Ara</v>
      </c>
      <c r="J991" t="str">
        <f>_xlfn.XLOOKUP(D991,products!$A$1:$A$49,products!$C$1:$C$49,,0)</f>
        <v>M</v>
      </c>
      <c r="K991" s="5">
        <f>_xlfn.XLOOKUP(D991,products!$A$1:$A$49,products!$D$1:$D$49,,0)</f>
        <v>2.5</v>
      </c>
      <c r="L991" s="7">
        <f>_xlfn.XLOOKUP(D991,products!$A$1:$A$49,products!$E$1:$E$49,,0)</f>
        <v>25.874999999999996</v>
      </c>
      <c r="M991" s="7">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IF(_xlfn.XLOOKUP(F992,customers!$B$1:$B$1001,customers!$C$1:$C$1001,,0)=0,"",_xlfn.XLOOKUP(F992,customers!$B$1:$B$1001,customers!$C$1:$C$1001,,0))</f>
        <v/>
      </c>
      <c r="H992" s="2" t="str">
        <f>_xlfn.XLOOKUP(C992,customers!$A$1:$A$1001,customers!$G$1:$G$1001,,0)</f>
        <v>United States</v>
      </c>
      <c r="I992" t="str">
        <f>_xlfn.XLOOKUP(D992,products!$A$1:$A$49,products!$B$1:$B$49,,0)</f>
        <v>Exc</v>
      </c>
      <c r="J992" t="str">
        <f>_xlfn.XLOOKUP(D992,products!$A$1:$A$49,products!$C$1:$C$49,,0)</f>
        <v>D</v>
      </c>
      <c r="K992" s="5">
        <f>_xlfn.XLOOKUP(D992,products!$A$1:$A$49,products!$D$1:$D$49,,0)</f>
        <v>0.2</v>
      </c>
      <c r="L992" s="7">
        <f>_xlfn.XLOOKUP(D992,products!$A$1:$A$49,products!$E$1:$E$49,,0)</f>
        <v>3.645</v>
      </c>
      <c r="M992" s="7">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IF(_xlfn.XLOOKUP(F993,customers!$B$1:$B$1001,customers!$C$1:$C$1001,,0)=0,"",_xlfn.XLOOKUP(F993,customers!$B$1:$B$1001,customers!$C$1:$C$1001,,0))</f>
        <v/>
      </c>
      <c r="H993" s="2" t="str">
        <f>_xlfn.XLOOKUP(C993,customers!$A$1:$A$1001,customers!$G$1:$G$1001,,0)</f>
        <v>United States</v>
      </c>
      <c r="I993" t="str">
        <f>_xlfn.XLOOKUP(D993,products!$A$1:$A$49,products!$B$1:$B$49,,0)</f>
        <v>Lib</v>
      </c>
      <c r="J993" t="str">
        <f>_xlfn.XLOOKUP(D993,products!$A$1:$A$49,products!$C$1:$C$49,,0)</f>
        <v>D</v>
      </c>
      <c r="K993" s="5">
        <f>_xlfn.XLOOKUP(D993,products!$A$1:$A$49,products!$D$1:$D$49,,0)</f>
        <v>0.5</v>
      </c>
      <c r="L993" s="7">
        <f>_xlfn.XLOOKUP(D993,products!$A$1:$A$49,products!$E$1:$E$49,,0)</f>
        <v>7.77</v>
      </c>
      <c r="M993" s="7">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IF(_xlfn.XLOOKUP(F994,customers!$B$1:$B$1001,customers!$C$1:$C$1001,,0)=0,"",_xlfn.XLOOKUP(F994,customers!$B$1:$B$1001,customers!$C$1:$C$1001,,0))</f>
        <v/>
      </c>
      <c r="H994" s="2" t="str">
        <f>_xlfn.XLOOKUP(C994,customers!$A$1:$A$1001,customers!$G$1:$G$1001,,0)</f>
        <v>Ireland</v>
      </c>
      <c r="I994" t="str">
        <f>_xlfn.XLOOKUP(D994,products!$A$1:$A$49,products!$B$1:$B$49,,0)</f>
        <v>Lib</v>
      </c>
      <c r="J994" t="str">
        <f>_xlfn.XLOOKUP(D994,products!$A$1:$A$49,products!$C$1:$C$49,,0)</f>
        <v>L</v>
      </c>
      <c r="K994" s="5">
        <f>_xlfn.XLOOKUP(D994,products!$A$1:$A$49,products!$D$1:$D$49,,0)</f>
        <v>2.5</v>
      </c>
      <c r="L994" s="7">
        <f>_xlfn.XLOOKUP(D994,products!$A$1:$A$49,products!$E$1:$E$49,,0)</f>
        <v>36.454999999999998</v>
      </c>
      <c r="M994" s="7">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IF(_xlfn.XLOOKUP(F995,customers!$B$1:$B$1001,customers!$C$1:$C$1001,,0)=0,"",_xlfn.XLOOKUP(F995,customers!$B$1:$B$1001,customers!$C$1:$C$1001,,0))</f>
        <v/>
      </c>
      <c r="H995" s="2" t="str">
        <f>_xlfn.XLOOKUP(C995,customers!$A$1:$A$1001,customers!$G$1:$G$1001,,0)</f>
        <v>United States</v>
      </c>
      <c r="I995" t="str">
        <f>_xlfn.XLOOKUP(D995,products!$A$1:$A$49,products!$B$1:$B$49,,0)</f>
        <v>Ara</v>
      </c>
      <c r="J995" t="str">
        <f>_xlfn.XLOOKUP(D995,products!$A$1:$A$49,products!$C$1:$C$49,,0)</f>
        <v>L</v>
      </c>
      <c r="K995" s="5">
        <f>_xlfn.XLOOKUP(D995,products!$A$1:$A$49,products!$D$1:$D$49,,0)</f>
        <v>1</v>
      </c>
      <c r="L995" s="7">
        <f>_xlfn.XLOOKUP(D995,products!$A$1:$A$49,products!$E$1:$E$49,,0)</f>
        <v>12.95</v>
      </c>
      <c r="M995" s="7">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IF(_xlfn.XLOOKUP(F996,customers!$B$1:$B$1001,customers!$C$1:$C$1001,,0)=0,"",_xlfn.XLOOKUP(F996,customers!$B$1:$B$1001,customers!$C$1:$C$1001,,0))</f>
        <v/>
      </c>
      <c r="H996" s="2" t="str">
        <f>_xlfn.XLOOKUP(C996,customers!$A$1:$A$1001,customers!$G$1:$G$1001,,0)</f>
        <v>Ireland</v>
      </c>
      <c r="I996" t="str">
        <f>_xlfn.XLOOKUP(D996,products!$A$1:$A$49,products!$B$1:$B$49,,0)</f>
        <v>Ara</v>
      </c>
      <c r="J996" t="str">
        <f>_xlfn.XLOOKUP(D996,products!$A$1:$A$49,products!$C$1:$C$49,,0)</f>
        <v>D</v>
      </c>
      <c r="K996" s="5">
        <f>_xlfn.XLOOKUP(D996,products!$A$1:$A$49,products!$D$1:$D$49,,0)</f>
        <v>0.2</v>
      </c>
      <c r="L996" s="7">
        <f>_xlfn.XLOOKUP(D996,products!$A$1:$A$49,products!$E$1:$E$49,,0)</f>
        <v>2.9849999999999999</v>
      </c>
      <c r="M996" s="7">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IF(_xlfn.XLOOKUP(F997,customers!$B$1:$B$1001,customers!$C$1:$C$1001,,0)=0,"",_xlfn.XLOOKUP(F997,customers!$B$1:$B$1001,customers!$C$1:$C$1001,,0))</f>
        <v>jtewelsonrn@samsung.com</v>
      </c>
      <c r="H997" s="2" t="str">
        <f>_xlfn.XLOOKUP(C997,customers!$A$1:$A$1001,customers!$G$1:$G$1001,,0)</f>
        <v>United States</v>
      </c>
      <c r="I997" t="str">
        <f>_xlfn.XLOOKUP(D997,products!$A$1:$A$49,products!$B$1:$B$49,,0)</f>
        <v>Rob</v>
      </c>
      <c r="J997" t="str">
        <f>_xlfn.XLOOKUP(D997,products!$A$1:$A$49,products!$C$1:$C$49,,0)</f>
        <v>L</v>
      </c>
      <c r="K997" s="5">
        <f>_xlfn.XLOOKUP(D997,products!$A$1:$A$49,products!$D$1:$D$49,,0)</f>
        <v>2.5</v>
      </c>
      <c r="L997" s="7">
        <f>_xlfn.XLOOKUP(D997,products!$A$1:$A$49,products!$E$1:$E$49,,0)</f>
        <v>27.484999999999996</v>
      </c>
      <c r="M997" s="7">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IF(_xlfn.XLOOKUP(F998,customers!$B$1:$B$1001,customers!$C$1:$C$1001,,0)=0,"",_xlfn.XLOOKUP(F998,customers!$B$1:$B$1001,customers!$C$1:$C$1001,,0))</f>
        <v/>
      </c>
      <c r="H998" s="2" t="str">
        <f>_xlfn.XLOOKUP(C998,customers!$A$1:$A$1001,customers!$G$1:$G$1001,,0)</f>
        <v>United States</v>
      </c>
      <c r="I998" t="str">
        <f>_xlfn.XLOOKUP(D998,products!$A$1:$A$49,products!$B$1:$B$49,,0)</f>
        <v>Rob</v>
      </c>
      <c r="J998" t="str">
        <f>_xlfn.XLOOKUP(D998,products!$A$1:$A$49,products!$C$1:$C$49,,0)</f>
        <v>M</v>
      </c>
      <c r="K998" s="5">
        <f>_xlfn.XLOOKUP(D998,products!$A$1:$A$49,products!$D$1:$D$49,,0)</f>
        <v>0.5</v>
      </c>
      <c r="L998" s="7">
        <f>_xlfn.XLOOKUP(D998,products!$A$1:$A$49,products!$E$1:$E$49,,0)</f>
        <v>5.97</v>
      </c>
      <c r="M998" s="7">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IF(_xlfn.XLOOKUP(F999,customers!$B$1:$B$1001,customers!$C$1:$C$1001,,0)=0,"",_xlfn.XLOOKUP(F999,customers!$B$1:$B$1001,customers!$C$1:$C$1001,,0))</f>
        <v/>
      </c>
      <c r="H999" s="2" t="str">
        <f>_xlfn.XLOOKUP(C999,customers!$A$1:$A$1001,customers!$G$1:$G$1001,,0)</f>
        <v>United States</v>
      </c>
      <c r="I999" t="str">
        <f>_xlfn.XLOOKUP(D999,products!$A$1:$A$49,products!$B$1:$B$49,,0)</f>
        <v>Ara</v>
      </c>
      <c r="J999" t="str">
        <f>_xlfn.XLOOKUP(D999,products!$A$1:$A$49,products!$C$1:$C$49,,0)</f>
        <v>M</v>
      </c>
      <c r="K999" s="5">
        <f>_xlfn.XLOOKUP(D999,products!$A$1:$A$49,products!$D$1:$D$49,,0)</f>
        <v>0.5</v>
      </c>
      <c r="L999" s="7">
        <f>_xlfn.XLOOKUP(D999,products!$A$1:$A$49,products!$E$1:$E$49,,0)</f>
        <v>6.75</v>
      </c>
      <c r="M999" s="7">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IF(_xlfn.XLOOKUP(F1000,customers!$B$1:$B$1001,customers!$C$1:$C$1001,,0)=0,"",_xlfn.XLOOKUP(F1000,customers!$B$1:$B$1001,customers!$C$1:$C$1001,,0))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5">
        <f>_xlfn.XLOOKUP(D1000,products!$A$1:$A$49,products!$D$1:$D$49,,0)</f>
        <v>1</v>
      </c>
      <c r="L1000" s="7">
        <f>_xlfn.XLOOKUP(D1000,products!$A$1:$A$49,products!$E$1:$E$49,,0)</f>
        <v>9.9499999999999993</v>
      </c>
      <c r="M1000" s="7">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IF(_xlfn.XLOOKUP(F1001,customers!$B$1:$B$1001,customers!$C$1:$C$1001,,0)=0,"",_xlfn.XLOOKUP(F1001,customers!$B$1:$B$1001,customers!$C$1:$C$1001,,0))</f>
        <v/>
      </c>
      <c r="H1001" s="2" t="str">
        <f>_xlfn.XLOOKUP(C1001,customers!$A$1:$A$1001,customers!$G$1:$G$1001,,0)</f>
        <v>United Kingdom</v>
      </c>
      <c r="I1001" t="str">
        <f>_xlfn.XLOOKUP(D1001,products!$A$1:$A$49,products!$B$1:$B$49,,0)</f>
        <v>Exc</v>
      </c>
      <c r="J1001" t="str">
        <f>_xlfn.XLOOKUP(D1001,products!$A$1:$A$49,products!$C$1:$C$49,,0)</f>
        <v>M</v>
      </c>
      <c r="K1001" s="5">
        <f>_xlfn.XLOOKUP(D1001,products!$A$1:$A$49,products!$D$1:$D$49,,0)</f>
        <v>0.2</v>
      </c>
      <c r="L1001" s="7">
        <f>_xlfn.XLOOKUP(D1001,products!$A$1:$A$49,products!$E$1:$E$49,,0)</f>
        <v>4.125</v>
      </c>
      <c r="M1001" s="7">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B1" sqref="B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73BD-B75B-452C-AA11-8F4CA923C4A0}">
  <dimension ref="A3:F48"/>
  <sheetViews>
    <sheetView zoomScale="77" zoomScaleNormal="100" workbookViewId="0">
      <selection activeCell="C26" sqref="C26"/>
    </sheetView>
  </sheetViews>
  <sheetFormatPr defaultRowHeight="14.4" x14ac:dyDescent="0.3"/>
  <cols>
    <col min="1" max="1" width="12.5546875" bestFit="1" customWidth="1"/>
    <col min="2" max="2" width="21.88671875" bestFit="1" customWidth="1"/>
    <col min="3" max="3" width="19.33203125" style="10" bestFit="1" customWidth="1"/>
    <col min="4" max="4" width="7" style="10" bestFit="1" customWidth="1"/>
    <col min="5" max="5" width="7.44140625" style="10" bestFit="1" customWidth="1"/>
    <col min="6" max="6" width="8.21875" style="10" bestFit="1" customWidth="1"/>
    <col min="7" max="25" width="6.6640625" bestFit="1" customWidth="1"/>
    <col min="26" max="169" width="7.6640625" bestFit="1" customWidth="1"/>
    <col min="170" max="199" width="8.6640625" bestFit="1" customWidth="1"/>
    <col min="200" max="200" width="11.88671875" bestFit="1" customWidth="1"/>
  </cols>
  <sheetData>
    <row r="3" spans="1:6" x14ac:dyDescent="0.3">
      <c r="A3" s="8" t="s">
        <v>6216</v>
      </c>
      <c r="C3" s="9" t="s">
        <v>6196</v>
      </c>
    </row>
    <row r="4" spans="1:6" x14ac:dyDescent="0.3">
      <c r="A4" s="8" t="s">
        <v>6214</v>
      </c>
      <c r="B4" s="8" t="s">
        <v>6215</v>
      </c>
      <c r="C4" s="10" t="s">
        <v>6217</v>
      </c>
      <c r="D4" s="10" t="s">
        <v>6218</v>
      </c>
      <c r="E4" s="10" t="s">
        <v>6219</v>
      </c>
      <c r="F4" s="10" t="s">
        <v>6220</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A06-D9DD-41E2-B336-4A05F53CBB2E}">
  <dimension ref="A3:F48"/>
  <sheetViews>
    <sheetView zoomScale="77" zoomScaleNormal="100" workbookViewId="0">
      <selection activeCell="U22" sqref="U22"/>
    </sheetView>
  </sheetViews>
  <sheetFormatPr defaultRowHeight="14.4" x14ac:dyDescent="0.3"/>
  <cols>
    <col min="1" max="1" width="14.109375" bestFit="1" customWidth="1"/>
    <col min="2" max="2" width="11.6640625" bestFit="1" customWidth="1"/>
    <col min="3" max="3" width="15" style="10" bestFit="1" customWidth="1"/>
    <col min="4" max="5" width="12.5546875" style="10" bestFit="1" customWidth="1"/>
    <col min="6" max="6" width="8.21875" style="10" bestFit="1" customWidth="1"/>
    <col min="7" max="25" width="6.6640625" bestFit="1" customWidth="1"/>
    <col min="26" max="169" width="7.6640625" bestFit="1" customWidth="1"/>
    <col min="170" max="199" width="8.6640625" bestFit="1" customWidth="1"/>
    <col min="200" max="200" width="11.88671875" bestFit="1" customWidth="1"/>
  </cols>
  <sheetData>
    <row r="3" spans="1:6" x14ac:dyDescent="0.3">
      <c r="A3" s="8" t="s">
        <v>7</v>
      </c>
      <c r="B3" s="10" t="s">
        <v>6216</v>
      </c>
      <c r="C3"/>
      <c r="D3"/>
      <c r="E3"/>
      <c r="F3"/>
    </row>
    <row r="4" spans="1:6" x14ac:dyDescent="0.3">
      <c r="A4" t="s">
        <v>28</v>
      </c>
      <c r="B4" s="12">
        <v>2798.5050000000001</v>
      </c>
      <c r="C4"/>
      <c r="D4"/>
      <c r="E4"/>
      <c r="F4"/>
    </row>
    <row r="5" spans="1:6" x14ac:dyDescent="0.3">
      <c r="A5" t="s">
        <v>318</v>
      </c>
      <c r="B5" s="12">
        <v>6696.8649999999989</v>
      </c>
      <c r="C5"/>
      <c r="D5"/>
      <c r="E5"/>
      <c r="F5"/>
    </row>
    <row r="6" spans="1:6" x14ac:dyDescent="0.3">
      <c r="A6" t="s">
        <v>19</v>
      </c>
      <c r="B6" s="12">
        <v>35638.88499999998</v>
      </c>
      <c r="C6"/>
      <c r="D6"/>
      <c r="E6"/>
      <c r="F6"/>
    </row>
    <row r="7" spans="1:6" x14ac:dyDescent="0.3">
      <c r="C7"/>
      <c r="D7"/>
      <c r="E7"/>
      <c r="F7"/>
    </row>
    <row r="8" spans="1:6" x14ac:dyDescent="0.3">
      <c r="C8"/>
      <c r="D8"/>
      <c r="E8"/>
      <c r="F8"/>
    </row>
    <row r="9" spans="1:6" x14ac:dyDescent="0.3">
      <c r="C9"/>
      <c r="D9"/>
      <c r="E9"/>
      <c r="F9"/>
    </row>
    <row r="10" spans="1:6" x14ac:dyDescent="0.3">
      <c r="C10"/>
      <c r="D10"/>
      <c r="E10"/>
      <c r="F10"/>
    </row>
    <row r="11" spans="1:6" x14ac:dyDescent="0.3">
      <c r="C11"/>
      <c r="D11"/>
      <c r="E11"/>
      <c r="F11"/>
    </row>
    <row r="12" spans="1:6" x14ac:dyDescent="0.3">
      <c r="C12"/>
      <c r="D12"/>
      <c r="E12"/>
      <c r="F12"/>
    </row>
    <row r="13" spans="1:6" x14ac:dyDescent="0.3">
      <c r="C13"/>
      <c r="D13"/>
      <c r="E13"/>
      <c r="F13"/>
    </row>
    <row r="14" spans="1:6" x14ac:dyDescent="0.3">
      <c r="C14"/>
      <c r="D14"/>
      <c r="E14"/>
      <c r="F14"/>
    </row>
    <row r="15" spans="1:6" x14ac:dyDescent="0.3">
      <c r="C15"/>
      <c r="D15"/>
      <c r="E15"/>
      <c r="F15"/>
    </row>
    <row r="16" spans="1:6" x14ac:dyDescent="0.3">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3417-0894-4D2F-BE88-D672CC6A28FA}">
  <dimension ref="A3:F48"/>
  <sheetViews>
    <sheetView zoomScale="77" zoomScaleNormal="100" workbookViewId="0">
      <selection activeCell="N7" sqref="N7"/>
    </sheetView>
  </sheetViews>
  <sheetFormatPr defaultRowHeight="14.4" x14ac:dyDescent="0.3"/>
  <cols>
    <col min="1" max="1" width="17.5546875" bestFit="1" customWidth="1"/>
    <col min="2" max="2" width="11.6640625" bestFit="1" customWidth="1"/>
    <col min="3" max="3" width="15" style="10" bestFit="1" customWidth="1"/>
    <col min="4" max="5" width="12.5546875" style="10" bestFit="1" customWidth="1"/>
    <col min="6" max="6" width="8.21875" style="10" bestFit="1" customWidth="1"/>
    <col min="7" max="25" width="6.6640625" bestFit="1" customWidth="1"/>
    <col min="26" max="169" width="7.6640625" bestFit="1" customWidth="1"/>
    <col min="170" max="199" width="8.6640625" bestFit="1" customWidth="1"/>
    <col min="200" max="200" width="11.88671875" bestFit="1" customWidth="1"/>
  </cols>
  <sheetData>
    <row r="3" spans="1:6" x14ac:dyDescent="0.3">
      <c r="A3" s="8" t="s">
        <v>4</v>
      </c>
      <c r="B3" s="10" t="s">
        <v>6216</v>
      </c>
      <c r="C3"/>
      <c r="D3"/>
      <c r="E3"/>
      <c r="F3"/>
    </row>
    <row r="4" spans="1:6" x14ac:dyDescent="0.3">
      <c r="A4" t="s">
        <v>3753</v>
      </c>
      <c r="B4" s="12">
        <v>278.01</v>
      </c>
      <c r="C4"/>
      <c r="D4"/>
      <c r="E4"/>
      <c r="F4"/>
    </row>
    <row r="5" spans="1:6" x14ac:dyDescent="0.3">
      <c r="A5" t="s">
        <v>1598</v>
      </c>
      <c r="B5" s="12">
        <v>281.67499999999995</v>
      </c>
      <c r="C5"/>
      <c r="D5"/>
      <c r="E5"/>
      <c r="F5"/>
    </row>
    <row r="6" spans="1:6" x14ac:dyDescent="0.3">
      <c r="A6" t="s">
        <v>2587</v>
      </c>
      <c r="B6" s="12">
        <v>289.11</v>
      </c>
      <c r="C6"/>
      <c r="D6"/>
      <c r="E6"/>
      <c r="F6"/>
    </row>
    <row r="7" spans="1:6" x14ac:dyDescent="0.3">
      <c r="A7" t="s">
        <v>5765</v>
      </c>
      <c r="B7" s="12">
        <v>307.04499999999996</v>
      </c>
      <c r="C7"/>
      <c r="D7"/>
      <c r="E7"/>
      <c r="F7"/>
    </row>
    <row r="8" spans="1:6" x14ac:dyDescent="0.3">
      <c r="A8" t="s">
        <v>5114</v>
      </c>
      <c r="B8" s="12">
        <v>317.06999999999994</v>
      </c>
      <c r="C8"/>
      <c r="D8"/>
      <c r="E8"/>
      <c r="F8"/>
    </row>
    <row r="9" spans="1:6" x14ac:dyDescent="0.3">
      <c r="C9"/>
      <c r="D9"/>
      <c r="E9"/>
      <c r="F9"/>
    </row>
    <row r="10" spans="1:6" x14ac:dyDescent="0.3">
      <c r="C10"/>
      <c r="D10"/>
      <c r="E10"/>
      <c r="F10"/>
    </row>
    <row r="11" spans="1:6" x14ac:dyDescent="0.3">
      <c r="C11"/>
      <c r="D11"/>
      <c r="E11"/>
      <c r="F11"/>
    </row>
    <row r="12" spans="1:6" x14ac:dyDescent="0.3">
      <c r="C12"/>
      <c r="D12"/>
      <c r="E12"/>
      <c r="F12"/>
    </row>
    <row r="13" spans="1:6" x14ac:dyDescent="0.3">
      <c r="C13"/>
      <c r="D13"/>
      <c r="E13"/>
      <c r="F13"/>
    </row>
    <row r="14" spans="1:6" x14ac:dyDescent="0.3">
      <c r="C14"/>
      <c r="D14"/>
      <c r="E14"/>
      <c r="F14"/>
    </row>
    <row r="15" spans="1:6" x14ac:dyDescent="0.3">
      <c r="C15"/>
      <c r="D15"/>
      <c r="E15"/>
      <c r="F15"/>
    </row>
    <row r="16" spans="1:6" x14ac:dyDescent="0.3">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8174-C4EE-46E0-A40B-7D40172AD78A}">
  <dimension ref="A1"/>
  <sheetViews>
    <sheetView zoomScale="72" zoomScaleNormal="100" workbookViewId="0">
      <selection activeCell="AD25" sqref="AD25"/>
    </sheetView>
  </sheetViews>
  <sheetFormatPr defaultRowHeight="14.4" x14ac:dyDescent="0.3"/>
  <cols>
    <col min="1" max="1" width="1.77734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Ankush Raj</dc:creator>
  <cp:keywords/>
  <dc:description/>
  <cp:lastModifiedBy>Ankush Raj</cp:lastModifiedBy>
  <cp:revision/>
  <dcterms:created xsi:type="dcterms:W3CDTF">2022-11-26T09:51:45Z</dcterms:created>
  <dcterms:modified xsi:type="dcterms:W3CDTF">2026-01-12T06:32:47Z</dcterms:modified>
  <cp:category/>
  <cp:contentStatus/>
</cp:coreProperties>
</file>